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1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color rgb="000563C1"/>
      <sz val="11"/>
      <u val="single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28" customWidth="1" min="5" max="5"/>
    <col width="20" customWidth="1" min="6" max="6"/>
    <col width="18" customWidth="1" min="7" max="7"/>
    <col width="16" customWidth="1" min="8" max="8"/>
    <col width="20" customWidth="1" min="9" max="9"/>
    <col width="16" customWidth="1" min="10" max="10"/>
    <col width="14" customWidth="1" min="11" max="11"/>
    <col width="32" customWidth="1" min="12" max="12"/>
    <col width="35" customWidth="1" min="13" max="13"/>
    <col width="14" customWidth="1" min="14" max="14"/>
  </cols>
  <sheetData>
    <row r="1">
      <c r="A1" s="1" t="inlineStr">
        <is>
          <t>Tier</t>
        </is>
      </c>
      <c r="B1" s="1" t="inlineStr">
        <is>
          <t>Company Name</t>
        </is>
      </c>
      <c r="C1" s="1" t="inlineStr">
        <is>
          <t># Employees</t>
        </is>
      </c>
      <c r="D1" s="1" t="inlineStr">
        <is>
          <t>Annual Revenue</t>
        </is>
      </c>
      <c r="E1" s="1" t="inlineStr">
        <is>
          <t>CEO/Owner</t>
        </is>
      </c>
      <c r="F1" s="1" t="inlineStr">
        <is>
          <t>Ownership</t>
        </is>
      </c>
      <c r="G1" s="1" t="inlineStr">
        <is>
          <t>CTO</t>
        </is>
      </c>
      <c r="H1" s="1" t="inlineStr">
        <is>
          <t>Website Quality</t>
        </is>
      </c>
      <c r="I1" s="1" t="inlineStr">
        <is>
          <t>Industry</t>
        </is>
      </c>
      <c r="J1" s="1" t="inlineStr">
        <is>
          <t>Company City</t>
        </is>
      </c>
      <c r="K1" s="1" t="inlineStr">
        <is>
          <t>Company State</t>
        </is>
      </c>
      <c r="L1" s="1" t="inlineStr">
        <is>
          <t>Website</t>
        </is>
      </c>
      <c r="M1" s="1" t="inlineStr">
        <is>
          <t>Company Linkedin Url</t>
        </is>
      </c>
      <c r="N1" s="1" t="inlineStr">
        <is>
          <t>Founded Year</t>
        </is>
      </c>
    </row>
    <row r="2">
      <c r="A2" t="inlineStr">
        <is>
          <t>Tier 1 - Strong Fit</t>
        </is>
      </c>
      <c r="B2" t="inlineStr">
        <is>
          <t>Parker &amp; Sons</t>
        </is>
      </c>
      <c r="C2" t="inlineStr">
        <is>
          <t>430</t>
        </is>
      </c>
      <c r="D2" t="inlineStr">
        <is>
          <t>43299000</t>
        </is>
      </c>
      <c r="E2" s="2">
        <f>HYPERLINK("https://www.linkedin.com/in/paul-kelly-5b2278b8","Paul Kelly")</f>
        <v/>
      </c>
      <c r="F2" t="inlineStr">
        <is>
          <t>Small PE</t>
        </is>
      </c>
      <c r="G2" t="inlineStr">
        <is>
          <t>No</t>
        </is>
      </c>
      <c r="H2" t="inlineStr">
        <is>
          <t>Good</t>
        </is>
      </c>
      <c r="I2" t="inlineStr">
        <is>
          <t>utilities</t>
        </is>
      </c>
      <c r="J2" t="inlineStr">
        <is>
          <t>Phoenix</t>
        </is>
      </c>
      <c r="K2" t="inlineStr">
        <is>
          <t>Arizona</t>
        </is>
      </c>
      <c r="L2" t="inlineStr">
        <is>
          <t>http://www.parkerandsons.com</t>
        </is>
      </c>
      <c r="M2" t="inlineStr">
        <is>
          <t>http://www.linkedin.com/company/parker-and-sons</t>
        </is>
      </c>
      <c r="N2" t="inlineStr">
        <is>
          <t>1974</t>
        </is>
      </c>
    </row>
    <row r="3">
      <c r="A3" t="inlineStr">
        <is>
          <t>Tier 1 - Strong Fit</t>
        </is>
      </c>
      <c r="B3" t="inlineStr">
        <is>
          <t>MedAire</t>
        </is>
      </c>
      <c r="C3" t="inlineStr">
        <is>
          <t>390</t>
        </is>
      </c>
      <c r="D3" t="inlineStr">
        <is>
          <t>28321000</t>
        </is>
      </c>
      <c r="E3" s="3" t="inlineStr">
        <is>
          <t>Bill Dolny</t>
        </is>
      </c>
      <c r="F3" t="inlineStr">
        <is>
          <t>Big PE</t>
        </is>
      </c>
      <c r="G3" t="inlineStr">
        <is>
          <t>No</t>
        </is>
      </c>
      <c r="H3" t="inlineStr">
        <is>
          <t>Good</t>
        </is>
      </c>
      <c r="I3" t="inlineStr">
        <is>
          <t>airlines/aviation</t>
        </is>
      </c>
      <c r="J3" t="inlineStr">
        <is>
          <t>Phoenix</t>
        </is>
      </c>
      <c r="K3" t="inlineStr">
        <is>
          <t>Arizona</t>
        </is>
      </c>
      <c r="L3" t="inlineStr">
        <is>
          <t>http://www.medaire.com</t>
        </is>
      </c>
      <c r="M3" t="inlineStr">
        <is>
          <t>http://www.linkedin.com/company/medaire</t>
        </is>
      </c>
      <c r="N3" t="inlineStr">
        <is>
          <t>1985</t>
        </is>
      </c>
    </row>
    <row r="4">
      <c r="A4" t="inlineStr">
        <is>
          <t>Tier 1 - Strong Fit</t>
        </is>
      </c>
      <c r="B4" t="inlineStr">
        <is>
          <t>IMCOR - Interstate Mechanical, LLC</t>
        </is>
      </c>
      <c r="C4" t="inlineStr">
        <is>
          <t>310</t>
        </is>
      </c>
      <c r="D4" t="inlineStr">
        <is>
          <t>16900000</t>
        </is>
      </c>
      <c r="E4" s="2">
        <f>HYPERLINK("https://www.linkedin.com/in/bob-karber-6b14b111","Bob Karber")</f>
        <v/>
      </c>
      <c r="F4" t="inlineStr">
        <is>
          <t>Self</t>
        </is>
      </c>
      <c r="G4" t="inlineStr">
        <is>
          <t>No</t>
        </is>
      </c>
      <c r="H4" t="inlineStr">
        <is>
          <t>Average</t>
        </is>
      </c>
      <c r="I4" t="inlineStr">
        <is>
          <t>machinery</t>
        </is>
      </c>
      <c r="J4" t="inlineStr">
        <is>
          <t>Phoenix</t>
        </is>
      </c>
      <c r="K4" t="inlineStr">
        <is>
          <t>Arizona</t>
        </is>
      </c>
      <c r="L4" t="inlineStr">
        <is>
          <t>http://www.imcor-az.com</t>
        </is>
      </c>
      <c r="M4" t="inlineStr">
        <is>
          <t>http://www.linkedin.com/company/imcor</t>
        </is>
      </c>
      <c r="N4" t="inlineStr">
        <is>
          <t>1974</t>
        </is>
      </c>
    </row>
    <row r="5">
      <c r="A5" t="inlineStr">
        <is>
          <t>Tier 1 - Strong Fit</t>
        </is>
      </c>
      <c r="B5" t="inlineStr">
        <is>
          <t>Varitec Solutions</t>
        </is>
      </c>
      <c r="C5" t="inlineStr">
        <is>
          <t>250</t>
        </is>
      </c>
      <c r="D5" t="inlineStr">
        <is>
          <t>15000000</t>
        </is>
      </c>
      <c r="E5" s="3" t="inlineStr">
        <is>
          <t>Jack Kucera</t>
        </is>
      </c>
      <c r="F5" t="inlineStr">
        <is>
          <t>Big PE</t>
        </is>
      </c>
      <c r="G5" t="inlineStr">
        <is>
          <t>No</t>
        </is>
      </c>
      <c r="H5" t="inlineStr">
        <is>
          <t>Average</t>
        </is>
      </c>
      <c r="I5" t="inlineStr">
        <is>
          <t>machinery</t>
        </is>
      </c>
      <c r="J5" t="inlineStr">
        <is>
          <t>Phoenix</t>
        </is>
      </c>
      <c r="K5" t="inlineStr">
        <is>
          <t>Arizona</t>
        </is>
      </c>
      <c r="L5" t="inlineStr">
        <is>
          <t>http://www.varitecsolutions.com</t>
        </is>
      </c>
      <c r="M5" t="inlineStr">
        <is>
          <t>http://www.linkedin.com/company/varitec-solutions</t>
        </is>
      </c>
      <c r="N5" t="inlineStr">
        <is>
          <t>1975</t>
        </is>
      </c>
    </row>
    <row r="6">
      <c r="A6" t="inlineStr">
        <is>
          <t>Tier 1 - Strong Fit</t>
        </is>
      </c>
      <c r="B6" t="inlineStr">
        <is>
          <t>American Refrigeration Supplies, Inc. (ARS)</t>
        </is>
      </c>
      <c r="C6" t="inlineStr">
        <is>
          <t>210</t>
        </is>
      </c>
      <c r="D6" t="inlineStr">
        <is>
          <t>15000000</t>
        </is>
      </c>
      <c r="E6" s="3" t="inlineStr">
        <is>
          <t>Not found</t>
        </is>
      </c>
      <c r="F6" t="inlineStr">
        <is>
          <t>Employee-Owned</t>
        </is>
      </c>
      <c r="G6" t="inlineStr">
        <is>
          <t>No</t>
        </is>
      </c>
      <c r="H6" t="inlineStr">
        <is>
          <t>Average</t>
        </is>
      </c>
      <c r="I6" t="inlineStr">
        <is>
          <t>wholesale</t>
        </is>
      </c>
      <c r="J6" t="inlineStr">
        <is>
          <t>Phoenix</t>
        </is>
      </c>
      <c r="K6" t="inlineStr">
        <is>
          <t>Arizona</t>
        </is>
      </c>
      <c r="L6" t="inlineStr">
        <is>
          <t>http://www.arsnet.com</t>
        </is>
      </c>
      <c r="M6" t="inlineStr">
        <is>
          <t>http://www.linkedin.com/company/american-refrigeration-supplies</t>
        </is>
      </c>
      <c r="N6" t="inlineStr">
        <is>
          <t>1940</t>
        </is>
      </c>
    </row>
    <row r="7">
      <c r="A7" t="inlineStr">
        <is>
          <t>Tier 1 - Strong Fit</t>
        </is>
      </c>
      <c r="B7" t="inlineStr">
        <is>
          <t>Poolman</t>
        </is>
      </c>
      <c r="C7" t="inlineStr">
        <is>
          <t>200</t>
        </is>
      </c>
      <c r="D7" t="inlineStr">
        <is>
          <t>16931000</t>
        </is>
      </c>
      <c r="E7" s="3" t="inlineStr">
        <is>
          <t>Not found</t>
        </is>
      </c>
      <c r="F7" t="inlineStr">
        <is>
          <t>Unclear</t>
        </is>
      </c>
      <c r="G7" t="inlineStr">
        <is>
          <t>No</t>
        </is>
      </c>
      <c r="H7" t="inlineStr">
        <is>
          <t>Average</t>
        </is>
      </c>
      <c r="I7" t="inlineStr">
        <is>
          <t>recreational facilities &amp; services</t>
        </is>
      </c>
      <c r="J7" t="inlineStr">
        <is>
          <t>Phoenix</t>
        </is>
      </c>
      <c r="K7" t="inlineStr">
        <is>
          <t>Arizona</t>
        </is>
      </c>
      <c r="L7" t="inlineStr">
        <is>
          <t>http://www.poolman.com</t>
        </is>
      </c>
      <c r="M7" t="inlineStr">
        <is>
          <t>http://www.linkedin.com/company/poolman</t>
        </is>
      </c>
    </row>
    <row r="8">
      <c r="A8" t="inlineStr">
        <is>
          <t>Tier 1 - Strong Fit</t>
        </is>
      </c>
      <c r="B8" t="inlineStr">
        <is>
          <t>Tel Tech Networks</t>
        </is>
      </c>
      <c r="C8" t="inlineStr">
        <is>
          <t>180</t>
        </is>
      </c>
      <c r="D8" t="inlineStr">
        <is>
          <t>40600000</t>
        </is>
      </c>
      <c r="E8" s="2">
        <f>HYPERLINK("https://www.linkedin.com/in/todd-cavanagh-a4264aa","Todd Cavanagh")</f>
        <v/>
      </c>
      <c r="F8" t="inlineStr">
        <is>
          <t>Self</t>
        </is>
      </c>
      <c r="G8" t="inlineStr">
        <is>
          <t>No</t>
        </is>
      </c>
      <c r="H8" t="inlineStr">
        <is>
          <t>Average</t>
        </is>
      </c>
      <c r="I8" t="inlineStr">
        <is>
          <t>telecommunications</t>
        </is>
      </c>
      <c r="J8" t="inlineStr">
        <is>
          <t>Phoenix</t>
        </is>
      </c>
      <c r="K8" t="inlineStr">
        <is>
          <t>Arizona</t>
        </is>
      </c>
      <c r="L8" t="inlineStr">
        <is>
          <t>http://www.teltechnetworks.com</t>
        </is>
      </c>
      <c r="M8" t="inlineStr">
        <is>
          <t>http://www.linkedin.com/company/teltech-networks</t>
        </is>
      </c>
      <c r="N8" t="inlineStr">
        <is>
          <t>2001</t>
        </is>
      </c>
    </row>
    <row r="9">
      <c r="A9" t="inlineStr">
        <is>
          <t>Tier 1 - Strong Fit</t>
        </is>
      </c>
      <c r="B9" t="inlineStr">
        <is>
          <t>Safeguard Security &amp; Communications</t>
        </is>
      </c>
      <c r="C9" t="inlineStr">
        <is>
          <t>150</t>
        </is>
      </c>
      <c r="D9" t="inlineStr">
        <is>
          <t>29300000</t>
        </is>
      </c>
      <c r="E9" s="3" t="inlineStr">
        <is>
          <t>Paul Sargenti</t>
        </is>
      </c>
      <c r="F9" t="inlineStr">
        <is>
          <t>Small PE</t>
        </is>
      </c>
      <c r="G9" t="inlineStr">
        <is>
          <t>No</t>
        </is>
      </c>
      <c r="H9" t="inlineStr">
        <is>
          <t>Poor</t>
        </is>
      </c>
      <c r="I9" t="inlineStr">
        <is>
          <t>security &amp; investigations</t>
        </is>
      </c>
      <c r="J9" t="inlineStr">
        <is>
          <t>Scottsdale</t>
        </is>
      </c>
      <c r="K9" t="inlineStr">
        <is>
          <t>Arizona</t>
        </is>
      </c>
      <c r="L9" t="inlineStr">
        <is>
          <t>http://www.safeguardsecurityaz.com</t>
        </is>
      </c>
      <c r="M9" t="inlineStr">
        <is>
          <t>http://www.linkedin.com/company/safeguard-security-&amp;-communications</t>
        </is>
      </c>
      <c r="N9" t="inlineStr">
        <is>
          <t>1961</t>
        </is>
      </c>
    </row>
    <row r="10">
      <c r="A10" t="inlineStr">
        <is>
          <t>Tier 1 - Strong Fit</t>
        </is>
      </c>
      <c r="B10" t="inlineStr">
        <is>
          <t>Earthworks Environmental, LLC</t>
        </is>
      </c>
      <c r="C10" t="inlineStr">
        <is>
          <t>140</t>
        </is>
      </c>
      <c r="D10" t="inlineStr">
        <is>
          <t>34624000</t>
        </is>
      </c>
      <c r="E10" s="2">
        <f>HYPERLINK("https://www.linkedin.com/in/cherie-koester-67097487","Cherie Koester")</f>
        <v/>
      </c>
      <c r="F10" t="inlineStr">
        <is>
          <t>Self</t>
        </is>
      </c>
      <c r="G10" t="inlineStr">
        <is>
          <t>No</t>
        </is>
      </c>
      <c r="H10" t="inlineStr">
        <is>
          <t>Average</t>
        </is>
      </c>
      <c r="I10" t="inlineStr">
        <is>
          <t>environmental services</t>
        </is>
      </c>
      <c r="J10" t="inlineStr">
        <is>
          <t>Phoenix</t>
        </is>
      </c>
      <c r="K10" t="inlineStr">
        <is>
          <t>Arizona</t>
        </is>
      </c>
      <c r="L10" t="inlineStr">
        <is>
          <t>http://www.earthworksenv.com</t>
        </is>
      </c>
      <c r="M10" t="inlineStr">
        <is>
          <t>http://www.linkedin.com/company/earthworks-environmental-llc</t>
        </is>
      </c>
      <c r="N10" t="inlineStr">
        <is>
          <t>2014</t>
        </is>
      </c>
    </row>
    <row r="11">
      <c r="A11" t="inlineStr">
        <is>
          <t>Tier 1 - Strong Fit</t>
        </is>
      </c>
      <c r="B11" t="inlineStr">
        <is>
          <t>Haskins Electric LLC.</t>
        </is>
      </c>
      <c r="C11" t="inlineStr">
        <is>
          <t>110</t>
        </is>
      </c>
      <c r="D11" t="inlineStr">
        <is>
          <t>21769000</t>
        </is>
      </c>
      <c r="E11" s="3" t="inlineStr">
        <is>
          <t>Chuck Haskins</t>
        </is>
      </c>
      <c r="F11" t="inlineStr">
        <is>
          <t>Family</t>
        </is>
      </c>
      <c r="G11" t="inlineStr">
        <is>
          <t>No</t>
        </is>
      </c>
      <c r="H11" t="inlineStr">
        <is>
          <t>Average</t>
        </is>
      </c>
      <c r="I11" t="inlineStr">
        <is>
          <t>construction</t>
        </is>
      </c>
      <c r="J11" t="inlineStr">
        <is>
          <t>Phoenix</t>
        </is>
      </c>
      <c r="K11" t="inlineStr">
        <is>
          <t>Arizona</t>
        </is>
      </c>
      <c r="L11" t="inlineStr">
        <is>
          <t>http://www.haskins-electric.com</t>
        </is>
      </c>
      <c r="M11" t="inlineStr">
        <is>
          <t>http://www.linkedin.com/company/haskins-electric-llc-</t>
        </is>
      </c>
    </row>
    <row r="12">
      <c r="A12" t="inlineStr">
        <is>
          <t>Tier 1 - Strong Fit</t>
        </is>
      </c>
      <c r="B12" t="inlineStr">
        <is>
          <t>ACE Home Services</t>
        </is>
      </c>
      <c r="C12" t="inlineStr">
        <is>
          <t>110</t>
        </is>
      </c>
      <c r="D12" t="inlineStr">
        <is>
          <t>47900000</t>
        </is>
      </c>
      <c r="E12" s="3" t="inlineStr">
        <is>
          <t>Kwan D. Jin</t>
        </is>
      </c>
      <c r="F12" t="inlineStr">
        <is>
          <t>Small PE</t>
        </is>
      </c>
      <c r="G12" t="inlineStr">
        <is>
          <t>No</t>
        </is>
      </c>
      <c r="H12" t="inlineStr">
        <is>
          <t>Average</t>
        </is>
      </c>
      <c r="I12" t="inlineStr">
        <is>
          <t>consumer services</t>
        </is>
      </c>
      <c r="J12" t="inlineStr">
        <is>
          <t>Phoenix</t>
        </is>
      </c>
      <c r="K12" t="inlineStr">
        <is>
          <t>Arizona</t>
        </is>
      </c>
      <c r="L12" t="inlineStr">
        <is>
          <t>http://www.acehomeaz.com</t>
        </is>
      </c>
      <c r="M12" t="inlineStr">
        <is>
          <t>http://www.linkedin.com/company/ace-home-services</t>
        </is>
      </c>
      <c r="N12" t="inlineStr">
        <is>
          <t>1994</t>
        </is>
      </c>
    </row>
    <row r="13">
      <c r="A13" t="inlineStr">
        <is>
          <t>Tier 1 - Strong Fit</t>
        </is>
      </c>
      <c r="B13" t="inlineStr">
        <is>
          <t>HACI Mechanical Contractors, Inc.</t>
        </is>
      </c>
      <c r="C13" t="inlineStr">
        <is>
          <t>99</t>
        </is>
      </c>
      <c r="D13" t="inlineStr">
        <is>
          <t>25299000</t>
        </is>
      </c>
      <c r="E13" s="2">
        <f>HYPERLINK("https://www.linkedin.com/in/tim-king-a2bbab10","Tim King")</f>
        <v/>
      </c>
      <c r="F13" t="inlineStr">
        <is>
          <t>Self</t>
        </is>
      </c>
      <c r="G13" t="inlineStr">
        <is>
          <t>No</t>
        </is>
      </c>
      <c r="H13" t="inlineStr">
        <is>
          <t>Average</t>
        </is>
      </c>
      <c r="I13" t="inlineStr">
        <is>
          <t>construction</t>
        </is>
      </c>
      <c r="J13" t="inlineStr">
        <is>
          <t>Phoenix</t>
        </is>
      </c>
      <c r="K13" t="inlineStr">
        <is>
          <t>Arizona</t>
        </is>
      </c>
      <c r="L13" t="inlineStr">
        <is>
          <t>http://www.hacimechanical.com</t>
        </is>
      </c>
      <c r="M13" t="inlineStr">
        <is>
          <t>http://www.linkedin.com/company/haci-mechanical-contractors</t>
        </is>
      </c>
      <c r="N13" t="inlineStr">
        <is>
          <t>1972</t>
        </is>
      </c>
    </row>
    <row r="14">
      <c r="A14" t="inlineStr">
        <is>
          <t>Tier 1 - Strong Fit</t>
        </is>
      </c>
      <c r="B14" t="inlineStr">
        <is>
          <t>Legacy Air</t>
        </is>
      </c>
      <c r="C14" t="inlineStr">
        <is>
          <t>99</t>
        </is>
      </c>
      <c r="D14" t="inlineStr">
        <is>
          <t>42052000</t>
        </is>
      </c>
      <c r="E14" s="2">
        <f>HYPERLINK("https://www.linkedin.com/in/jay-parker-4788121","Jay Parker")</f>
        <v/>
      </c>
      <c r="F14" t="inlineStr">
        <is>
          <t>Small PE</t>
        </is>
      </c>
      <c r="G14" t="inlineStr">
        <is>
          <t>No</t>
        </is>
      </c>
      <c r="H14" t="inlineStr">
        <is>
          <t>Average</t>
        </is>
      </c>
      <c r="I14" t="inlineStr">
        <is>
          <t>facilities services</t>
        </is>
      </c>
      <c r="J14" t="inlineStr">
        <is>
          <t>Phoenix</t>
        </is>
      </c>
      <c r="K14" t="inlineStr">
        <is>
          <t>Arizona</t>
        </is>
      </c>
      <c r="L14" t="inlineStr">
        <is>
          <t>http://www.legacyair.com</t>
        </is>
      </c>
      <c r="M14" t="inlineStr">
        <is>
          <t>http://www.linkedin.com/company/legacy-air</t>
        </is>
      </c>
      <c r="N14" t="inlineStr">
        <is>
          <t>2001</t>
        </is>
      </c>
    </row>
    <row r="15">
      <c r="A15" t="inlineStr">
        <is>
          <t>Tier 1 - Strong Fit</t>
        </is>
      </c>
      <c r="B15" t="inlineStr">
        <is>
          <t>Aero Automatic Sprinkler Company</t>
        </is>
      </c>
      <c r="C15" t="inlineStr">
        <is>
          <t>97</t>
        </is>
      </c>
      <c r="D15" t="inlineStr">
        <is>
          <t>25547000</t>
        </is>
      </c>
      <c r="E15" s="2">
        <f>HYPERLINK("https://www.linkedin.com/in/gary-beyschau-2996a5a","Gary Beyschau")</f>
        <v/>
      </c>
      <c r="F15" t="inlineStr">
        <is>
          <t>Self</t>
        </is>
      </c>
      <c r="G15" t="inlineStr">
        <is>
          <t>No</t>
        </is>
      </c>
      <c r="H15" t="inlineStr">
        <is>
          <t>Average</t>
        </is>
      </c>
      <c r="I15" t="inlineStr">
        <is>
          <t>construction</t>
        </is>
      </c>
      <c r="J15" t="inlineStr">
        <is>
          <t>Phoenix</t>
        </is>
      </c>
      <c r="K15" t="inlineStr">
        <is>
          <t>Arizona</t>
        </is>
      </c>
      <c r="L15" t="inlineStr">
        <is>
          <t>http://www.aerofire.com</t>
        </is>
      </c>
      <c r="M15" t="inlineStr">
        <is>
          <t>http://www.linkedin.com/company/aero-automatic-sprinkler-company</t>
        </is>
      </c>
    </row>
    <row r="16">
      <c r="A16" t="inlineStr">
        <is>
          <t>Tier 1 - Strong Fit</t>
        </is>
      </c>
      <c r="B16" t="inlineStr">
        <is>
          <t>RKS Plumbing and Mechanical</t>
        </is>
      </c>
      <c r="C16" t="inlineStr">
        <is>
          <t>84</t>
        </is>
      </c>
      <c r="D16" t="inlineStr">
        <is>
          <t>39187000</t>
        </is>
      </c>
      <c r="E16" s="3" t="inlineStr">
        <is>
          <t>Robert Sornsin</t>
        </is>
      </c>
      <c r="F16" t="inlineStr">
        <is>
          <t>Self</t>
        </is>
      </c>
      <c r="G16" t="inlineStr">
        <is>
          <t>No</t>
        </is>
      </c>
      <c r="H16" t="inlineStr">
        <is>
          <t>Poor</t>
        </is>
      </c>
      <c r="I16" t="inlineStr">
        <is>
          <t>construction</t>
        </is>
      </c>
      <c r="J16" t="inlineStr">
        <is>
          <t>Phoenix</t>
        </is>
      </c>
      <c r="K16" t="inlineStr">
        <is>
          <t>Arizona</t>
        </is>
      </c>
      <c r="L16" t="inlineStr">
        <is>
          <t>http://www.rksplumbing.com</t>
        </is>
      </c>
      <c r="M16" t="inlineStr">
        <is>
          <t>http://www.linkedin.com/company/rks-plumbing-and-mechanical</t>
        </is>
      </c>
      <c r="N16" t="inlineStr">
        <is>
          <t>1990</t>
        </is>
      </c>
    </row>
    <row r="17">
      <c r="A17" t="inlineStr">
        <is>
          <t>Tier 1 - Strong Fit</t>
        </is>
      </c>
      <c r="B17" t="inlineStr">
        <is>
          <t>Capp Electric Co</t>
        </is>
      </c>
      <c r="C17" t="inlineStr">
        <is>
          <t>79</t>
        </is>
      </c>
      <c r="D17" t="inlineStr">
        <is>
          <t>14075000</t>
        </is>
      </c>
      <c r="E17" s="3" t="inlineStr">
        <is>
          <t>Not found</t>
        </is>
      </c>
      <c r="F17" t="inlineStr">
        <is>
          <t>Self</t>
        </is>
      </c>
      <c r="G17" t="inlineStr">
        <is>
          <t>No</t>
        </is>
      </c>
      <c r="H17" t="inlineStr">
        <is>
          <t>Average</t>
        </is>
      </c>
      <c r="I17" t="inlineStr">
        <is>
          <t>electrical/electronic manufacturing</t>
        </is>
      </c>
      <c r="J17" t="inlineStr">
        <is>
          <t>Phoenix</t>
        </is>
      </c>
      <c r="K17" t="inlineStr">
        <is>
          <t>Arizona</t>
        </is>
      </c>
      <c r="L17" t="inlineStr">
        <is>
          <t>http://www.cappelectric.com</t>
        </is>
      </c>
      <c r="M17" t="inlineStr">
        <is>
          <t>http://www.linkedin.com/company/capp-electric-co</t>
        </is>
      </c>
    </row>
    <row r="18">
      <c r="A18" t="inlineStr">
        <is>
          <t>Tier 1 - Strong Fit</t>
        </is>
      </c>
      <c r="B18" t="inlineStr">
        <is>
          <t>Star Roofing</t>
        </is>
      </c>
      <c r="C18" t="inlineStr">
        <is>
          <t>77</t>
        </is>
      </c>
      <c r="D18" t="inlineStr">
        <is>
          <t>10000000</t>
        </is>
      </c>
      <c r="E18" s="2">
        <f>HYPERLINK("https://www.linkedin.com/in/john-plescia-11098059","John Plescia")</f>
        <v/>
      </c>
      <c r="F18" t="inlineStr">
        <is>
          <t>Small PE</t>
        </is>
      </c>
      <c r="G18" t="inlineStr">
        <is>
          <t>No</t>
        </is>
      </c>
      <c r="H18" t="inlineStr">
        <is>
          <t>Average</t>
        </is>
      </c>
      <c r="I18" t="inlineStr">
        <is>
          <t>construction</t>
        </is>
      </c>
      <c r="J18" t="inlineStr">
        <is>
          <t>Phoenix</t>
        </is>
      </c>
      <c r="K18" t="inlineStr">
        <is>
          <t>Arizona</t>
        </is>
      </c>
      <c r="L18" t="inlineStr">
        <is>
          <t>http://www.starroofingaz.com</t>
        </is>
      </c>
      <c r="M18" t="inlineStr">
        <is>
          <t>http://www.linkedin.com/company/star-roofing</t>
        </is>
      </c>
      <c r="N18" t="inlineStr">
        <is>
          <t>1954</t>
        </is>
      </c>
    </row>
    <row r="19">
      <c r="A19" t="inlineStr">
        <is>
          <t>Tier 1 - Strong Fit</t>
        </is>
      </c>
      <c r="B19" t="inlineStr">
        <is>
          <t>Hilty's Electrical Contracting, Inc.</t>
        </is>
      </c>
      <c r="C19" t="inlineStr">
        <is>
          <t>77</t>
        </is>
      </c>
      <c r="D19" t="inlineStr">
        <is>
          <t>22817000</t>
        </is>
      </c>
      <c r="E19" s="3" t="inlineStr">
        <is>
          <t>Not found</t>
        </is>
      </c>
      <c r="F19" t="inlineStr">
        <is>
          <t>Employee-Owned</t>
        </is>
      </c>
      <c r="G19" t="inlineStr">
        <is>
          <t>No</t>
        </is>
      </c>
      <c r="H19" t="inlineStr">
        <is>
          <t>Average</t>
        </is>
      </c>
      <c r="I19" t="inlineStr">
        <is>
          <t>construction</t>
        </is>
      </c>
      <c r="J19" t="inlineStr">
        <is>
          <t>Scottsdale</t>
        </is>
      </c>
      <c r="K19" t="inlineStr">
        <is>
          <t>Arizona</t>
        </is>
      </c>
      <c r="L19" t="inlineStr">
        <is>
          <t>http://www.hiltys.net</t>
        </is>
      </c>
      <c r="M19" t="inlineStr">
        <is>
          <t>http://www.linkedin.com/company/hiltyselectricalinc</t>
        </is>
      </c>
      <c r="N19" t="inlineStr">
        <is>
          <t>1977</t>
        </is>
      </c>
    </row>
    <row r="20">
      <c r="A20" t="inlineStr">
        <is>
          <t>Tier 1 - Strong Fit</t>
        </is>
      </c>
      <c r="B20" t="inlineStr">
        <is>
          <t>W. D. Manor Mechanical Contractors, Inc</t>
        </is>
      </c>
      <c r="C20" t="inlineStr">
        <is>
          <t>64</t>
        </is>
      </c>
      <c r="D20" t="inlineStr">
        <is>
          <t>17631000</t>
        </is>
      </c>
      <c r="E20" s="3" t="inlineStr">
        <is>
          <t>Not found</t>
        </is>
      </c>
      <c r="F20" t="inlineStr">
        <is>
          <t>Self</t>
        </is>
      </c>
      <c r="G20" t="inlineStr">
        <is>
          <t>No</t>
        </is>
      </c>
      <c r="H20" t="inlineStr">
        <is>
          <t>Good</t>
        </is>
      </c>
      <c r="I20" t="inlineStr">
        <is>
          <t>construction</t>
        </is>
      </c>
      <c r="J20" t="inlineStr">
        <is>
          <t>Phoenix</t>
        </is>
      </c>
      <c r="K20" t="inlineStr">
        <is>
          <t>Arizona</t>
        </is>
      </c>
      <c r="L20" t="inlineStr">
        <is>
          <t>http://www.wdmanor.com</t>
        </is>
      </c>
      <c r="M20" t="inlineStr">
        <is>
          <t>http://www.linkedin.com/company/wd-manor-mechanical</t>
        </is>
      </c>
      <c r="N20" t="inlineStr">
        <is>
          <t>1945</t>
        </is>
      </c>
    </row>
    <row r="21">
      <c r="A21" t="inlineStr">
        <is>
          <t>Tier 1 - Strong Fit</t>
        </is>
      </c>
      <c r="B21" t="inlineStr">
        <is>
          <t>Arizona Technology Council</t>
        </is>
      </c>
      <c r="C21" t="inlineStr">
        <is>
          <t>59</t>
        </is>
      </c>
      <c r="D21" t="inlineStr">
        <is>
          <t>13427000</t>
        </is>
      </c>
      <c r="E21" s="3" t="inlineStr">
        <is>
          <t>Steven G. Zylstra</t>
        </is>
      </c>
      <c r="F21" t="inlineStr">
        <is>
          <t>Nonprofit</t>
        </is>
      </c>
      <c r="G21" t="inlineStr">
        <is>
          <t>No</t>
        </is>
      </c>
      <c r="H21" t="inlineStr">
        <is>
          <t>Good</t>
        </is>
      </c>
      <c r="I21" t="inlineStr">
        <is>
          <t>nonprofit organization management</t>
        </is>
      </c>
      <c r="J21" t="inlineStr">
        <is>
          <t>Phoenix</t>
        </is>
      </c>
      <c r="K21" t="inlineStr">
        <is>
          <t>Arizona</t>
        </is>
      </c>
      <c r="L21" t="inlineStr">
        <is>
          <t>http://www.aztechcouncil.org</t>
        </is>
      </c>
      <c r="M21" t="inlineStr">
        <is>
          <t>http://www.linkedin.com/company/aztechcouncil</t>
        </is>
      </c>
      <c r="N21" t="inlineStr">
        <is>
          <t>2002</t>
        </is>
      </c>
    </row>
    <row r="22">
      <c r="A22" t="inlineStr">
        <is>
          <t>Tier 1 - Strong Fit</t>
        </is>
      </c>
      <c r="B22" t="inlineStr">
        <is>
          <t>Global Mobility Solutions</t>
        </is>
      </c>
      <c r="C22" t="inlineStr">
        <is>
          <t>58</t>
        </is>
      </c>
      <c r="D22" t="inlineStr">
        <is>
          <t>41477000</t>
        </is>
      </c>
      <c r="E22" s="2">
        <f>HYPERLINK("https://www.linkedin.com/in/steven-wester-35598b4","Steve Ozonian")</f>
        <v/>
      </c>
      <c r="F22" t="inlineStr">
        <is>
          <t>Self</t>
        </is>
      </c>
      <c r="G22" t="inlineStr">
        <is>
          <t>No</t>
        </is>
      </c>
      <c r="H22" t="inlineStr">
        <is>
          <t>Good</t>
        </is>
      </c>
      <c r="I22" t="inlineStr">
        <is>
          <t>real estate</t>
        </is>
      </c>
      <c r="J22" t="inlineStr">
        <is>
          <t>Scottsdale</t>
        </is>
      </c>
      <c r="K22" t="inlineStr">
        <is>
          <t>Arizona</t>
        </is>
      </c>
      <c r="L22" t="inlineStr">
        <is>
          <t>http://www.gmsmobility.com</t>
        </is>
      </c>
      <c r="M22" t="inlineStr">
        <is>
          <t>http://www.linkedin.com/company/gmsmobility</t>
        </is>
      </c>
      <c r="N22" t="inlineStr">
        <is>
          <t>1987</t>
        </is>
      </c>
    </row>
    <row r="23">
      <c r="A23" t="inlineStr">
        <is>
          <t>Tier 1 - Strong Fit</t>
        </is>
      </c>
      <c r="B23" t="inlineStr">
        <is>
          <t>Goldwater Institute</t>
        </is>
      </c>
      <c r="C23" t="inlineStr">
        <is>
          <t>54</t>
        </is>
      </c>
      <c r="D23" t="inlineStr">
        <is>
          <t>10000000</t>
        </is>
      </c>
      <c r="E23" s="3" t="inlineStr">
        <is>
          <t>Not found</t>
        </is>
      </c>
      <c r="F23" t="inlineStr">
        <is>
          <t>Nonprofit</t>
        </is>
      </c>
      <c r="G23" t="inlineStr">
        <is>
          <t>No</t>
        </is>
      </c>
      <c r="H23" t="inlineStr">
        <is>
          <t>Good</t>
        </is>
      </c>
      <c r="I23" t="inlineStr">
        <is>
          <t>public policy</t>
        </is>
      </c>
      <c r="J23" t="inlineStr">
        <is>
          <t>Phoenix</t>
        </is>
      </c>
      <c r="K23" t="inlineStr">
        <is>
          <t>Arizona</t>
        </is>
      </c>
      <c r="L23" t="inlineStr">
        <is>
          <t>http://www.goldwaterinstitute.org</t>
        </is>
      </c>
      <c r="M23" t="inlineStr">
        <is>
          <t>http://www.linkedin.com/company/goldwater-institute</t>
        </is>
      </c>
      <c r="N23" t="inlineStr">
        <is>
          <t>1988</t>
        </is>
      </c>
    </row>
    <row r="24">
      <c r="A24" t="inlineStr">
        <is>
          <t>Tier 1 - Strong Fit</t>
        </is>
      </c>
      <c r="B24" t="inlineStr">
        <is>
          <t>Rapid Plumbing</t>
        </is>
      </c>
      <c r="C24" t="inlineStr">
        <is>
          <t>54</t>
        </is>
      </c>
      <c r="D24" t="inlineStr">
        <is>
          <t>22617000</t>
        </is>
      </c>
      <c r="E24" s="3" t="inlineStr">
        <is>
          <t>Not found</t>
        </is>
      </c>
      <c r="F24" t="inlineStr">
        <is>
          <t>Unclear</t>
        </is>
      </c>
      <c r="G24" t="inlineStr">
        <is>
          <t>No</t>
        </is>
      </c>
      <c r="H24" t="inlineStr">
        <is>
          <t>Poor</t>
        </is>
      </c>
      <c r="I24" t="inlineStr">
        <is>
          <t>construction</t>
        </is>
      </c>
      <c r="J24" t="inlineStr">
        <is>
          <t>Phoenix</t>
        </is>
      </c>
      <c r="K24" t="inlineStr">
        <is>
          <t>Arizona</t>
        </is>
      </c>
      <c r="L24" t="inlineStr">
        <is>
          <t>http://www.rapidplumbing.net</t>
        </is>
      </c>
      <c r="M24" t="inlineStr">
        <is>
          <t>http://www.linkedin.com/company/rapid-plumbing</t>
        </is>
      </c>
    </row>
    <row r="25">
      <c r="A25" t="inlineStr">
        <is>
          <t>Tier 1 - Strong Fit</t>
        </is>
      </c>
      <c r="B25" t="inlineStr">
        <is>
          <t>Echo Canyon Consulting</t>
        </is>
      </c>
      <c r="C25" t="inlineStr">
        <is>
          <t>53</t>
        </is>
      </c>
      <c r="D25" t="inlineStr">
        <is>
          <t>17314000</t>
        </is>
      </c>
      <c r="E25" s="3" t="inlineStr">
        <is>
          <t>Not found</t>
        </is>
      </c>
      <c r="F25" t="inlineStr">
        <is>
          <t>Self</t>
        </is>
      </c>
      <c r="G25" t="inlineStr">
        <is>
          <t>No</t>
        </is>
      </c>
      <c r="H25" t="inlineStr">
        <is>
          <t>Poor</t>
        </is>
      </c>
      <c r="I25" t="inlineStr">
        <is>
          <t>professional training &amp; coaching</t>
        </is>
      </c>
      <c r="J25" t="inlineStr">
        <is>
          <t>Phoenix</t>
        </is>
      </c>
      <c r="K25" t="inlineStr">
        <is>
          <t>Arizona</t>
        </is>
      </c>
      <c r="L25" t="inlineStr">
        <is>
          <t>http://www.echocanyonelectric.com</t>
        </is>
      </c>
      <c r="M25" t="inlineStr">
        <is>
          <t>http://www.linkedin.com/company/echo-canyon-consulting</t>
        </is>
      </c>
      <c r="N25" t="inlineStr">
        <is>
          <t>2024</t>
        </is>
      </c>
    </row>
    <row r="26">
      <c r="A26" t="inlineStr">
        <is>
          <t>Tier 1 - Strong Fit</t>
        </is>
      </c>
      <c r="B26" t="inlineStr">
        <is>
          <t>Sal Electric</t>
        </is>
      </c>
      <c r="C26" t="inlineStr">
        <is>
          <t>50</t>
        </is>
      </c>
      <c r="D26" t="inlineStr">
        <is>
          <t>25967000</t>
        </is>
      </c>
      <c r="E26" s="3" t="inlineStr">
        <is>
          <t>Not found</t>
        </is>
      </c>
      <c r="F26" t="inlineStr">
        <is>
          <t>Self</t>
        </is>
      </c>
      <c r="G26" t="inlineStr">
        <is>
          <t>No</t>
        </is>
      </c>
      <c r="H26" t="inlineStr">
        <is>
          <t>Average</t>
        </is>
      </c>
      <c r="I26" t="inlineStr">
        <is>
          <t>electrical/electronic manufacturing</t>
        </is>
      </c>
      <c r="J26" t="inlineStr">
        <is>
          <t>Phoenix</t>
        </is>
      </c>
      <c r="K26" t="inlineStr">
        <is>
          <t>Arizona</t>
        </is>
      </c>
      <c r="L26" t="inlineStr">
        <is>
          <t>http://www.salelectric.com</t>
        </is>
      </c>
      <c r="M26" t="inlineStr">
        <is>
          <t>http://www.linkedin.com/company/sal-electric</t>
        </is>
      </c>
    </row>
    <row r="27">
      <c r="A27" t="inlineStr">
        <is>
          <t>Tier 1 - Strong Fit</t>
        </is>
      </c>
      <c r="B27" t="inlineStr">
        <is>
          <t>Clayton Services</t>
        </is>
      </c>
      <c r="C27" t="inlineStr">
        <is>
          <t>440</t>
        </is>
      </c>
      <c r="D27" t="inlineStr">
        <is>
          <t>24900000</t>
        </is>
      </c>
      <c r="E27" s="3" t="inlineStr">
        <is>
          <t>Rob Clements</t>
        </is>
      </c>
      <c r="F27" t="inlineStr">
        <is>
          <t>Big PE</t>
        </is>
      </c>
      <c r="G27" t="inlineStr">
        <is>
          <t>No</t>
        </is>
      </c>
      <c r="H27" t="inlineStr">
        <is>
          <t>Good</t>
        </is>
      </c>
      <c r="I27" t="inlineStr">
        <is>
          <t>financial services</t>
        </is>
      </c>
      <c r="J27" t="inlineStr">
        <is>
          <t>Tampa</t>
        </is>
      </c>
      <c r="K27" t="inlineStr">
        <is>
          <t>Florida</t>
        </is>
      </c>
      <c r="L27" t="inlineStr">
        <is>
          <t>http://www.clayton.com</t>
        </is>
      </c>
      <c r="M27" t="inlineStr">
        <is>
          <t>http://www.linkedin.com/company/clayton-holdings</t>
        </is>
      </c>
      <c r="N27" t="inlineStr">
        <is>
          <t>1989</t>
        </is>
      </c>
    </row>
    <row r="28">
      <c r="A28" t="inlineStr">
        <is>
          <t>Tier 1 - Strong Fit</t>
        </is>
      </c>
      <c r="B28" t="inlineStr">
        <is>
          <t>MedPartners</t>
        </is>
      </c>
      <c r="C28" t="inlineStr">
        <is>
          <t>370</t>
        </is>
      </c>
      <c r="D28" t="inlineStr">
        <is>
          <t>22957000</t>
        </is>
      </c>
      <c r="E28" s="3" t="inlineStr">
        <is>
          <t>Bob Bradley</t>
        </is>
      </c>
      <c r="F28" t="inlineStr">
        <is>
          <t>Big PE</t>
        </is>
      </c>
      <c r="G28" t="inlineStr">
        <is>
          <t>No</t>
        </is>
      </c>
      <c r="H28" t="inlineStr">
        <is>
          <t>Average</t>
        </is>
      </c>
      <c r="I28" t="inlineStr">
        <is>
          <t>hospital &amp; health care</t>
        </is>
      </c>
      <c r="J28" t="inlineStr">
        <is>
          <t>Tampa</t>
        </is>
      </c>
      <c r="K28" t="inlineStr">
        <is>
          <t>Florida</t>
        </is>
      </c>
      <c r="L28" t="inlineStr">
        <is>
          <t>http://www.medpartnersonline.com</t>
        </is>
      </c>
      <c r="M28" t="inlineStr">
        <is>
          <t>http://www.linkedin.com/company/medpartners</t>
        </is>
      </c>
      <c r="N28" t="inlineStr">
        <is>
          <t>2002</t>
        </is>
      </c>
    </row>
    <row r="29">
      <c r="A29" t="inlineStr">
        <is>
          <t>Tier 1 - Strong Fit</t>
        </is>
      </c>
      <c r="B29" t="inlineStr">
        <is>
          <t>Sibylline</t>
        </is>
      </c>
      <c r="C29" t="inlineStr">
        <is>
          <t>300</t>
        </is>
      </c>
      <c r="D29" t="inlineStr">
        <is>
          <t>47000000</t>
        </is>
      </c>
      <c r="E29" s="2">
        <f>HYPERLINK("https://www.linkedin.com/in/justin-crump-bb754313","Justin Crump")</f>
        <v/>
      </c>
      <c r="F29" t="inlineStr">
        <is>
          <t>Self</t>
        </is>
      </c>
      <c r="G29" t="inlineStr">
        <is>
          <t>No</t>
        </is>
      </c>
      <c r="H29" t="inlineStr">
        <is>
          <t>Good</t>
        </is>
      </c>
      <c r="I29" t="inlineStr">
        <is>
          <t>management consulting</t>
        </is>
      </c>
      <c r="J29" t="inlineStr">
        <is>
          <t>Orlando</t>
        </is>
      </c>
      <c r="K29" t="inlineStr">
        <is>
          <t>Florida</t>
        </is>
      </c>
      <c r="L29" t="inlineStr">
        <is>
          <t>http://www.sibylline.co.uk</t>
        </is>
      </c>
      <c r="M29" t="inlineStr">
        <is>
          <t>http://www.linkedin.com/company/sibylline-ltd</t>
        </is>
      </c>
      <c r="N29" t="inlineStr">
        <is>
          <t>2010</t>
        </is>
      </c>
    </row>
    <row r="30">
      <c r="A30" t="inlineStr">
        <is>
          <t>Tier 1 - Strong Fit</t>
        </is>
      </c>
      <c r="B30" t="inlineStr">
        <is>
          <t>Westbrook Service Company</t>
        </is>
      </c>
      <c r="C30" t="inlineStr">
        <is>
          <t>200</t>
        </is>
      </c>
      <c r="D30" t="inlineStr">
        <is>
          <t>29503000</t>
        </is>
      </c>
      <c r="E30" s="2">
        <f>HYPERLINK("https://www.linkedin.com/in/brian-king-7349bb348","Brian King")</f>
        <v/>
      </c>
      <c r="F30" t="inlineStr">
        <is>
          <t>Self</t>
        </is>
      </c>
      <c r="G30" t="inlineStr">
        <is>
          <t>No</t>
        </is>
      </c>
      <c r="H30" t="inlineStr">
        <is>
          <t>Average</t>
        </is>
      </c>
      <c r="I30" t="inlineStr">
        <is>
          <t>construction</t>
        </is>
      </c>
      <c r="J30" t="inlineStr">
        <is>
          <t>Orlando</t>
        </is>
      </c>
      <c r="K30" t="inlineStr">
        <is>
          <t>Florida</t>
        </is>
      </c>
      <c r="L30" t="inlineStr">
        <is>
          <t>http://www.westbrookfl.com</t>
        </is>
      </c>
      <c r="M30" t="inlineStr">
        <is>
          <t>http://www.linkedin.com/company/westbrook-service-company</t>
        </is>
      </c>
      <c r="N30" t="inlineStr">
        <is>
          <t>1949</t>
        </is>
      </c>
    </row>
    <row r="31">
      <c r="A31" t="inlineStr">
        <is>
          <t>Tier 1 - Strong Fit</t>
        </is>
      </c>
      <c r="B31" t="inlineStr">
        <is>
          <t>SEARCH</t>
        </is>
      </c>
      <c r="C31" t="inlineStr">
        <is>
          <t>200</t>
        </is>
      </c>
      <c r="D31" t="inlineStr">
        <is>
          <t>22356000</t>
        </is>
      </c>
      <c r="E31" s="3" t="inlineStr">
        <is>
          <t>Anne V. Stokes</t>
        </is>
      </c>
      <c r="F31" t="inlineStr">
        <is>
          <t>Small PE</t>
        </is>
      </c>
      <c r="G31" t="inlineStr">
        <is>
          <t>No</t>
        </is>
      </c>
      <c r="H31" t="inlineStr">
        <is>
          <t>Good</t>
        </is>
      </c>
      <c r="I31" t="inlineStr">
        <is>
          <t>environmental services</t>
        </is>
      </c>
      <c r="J31" t="inlineStr">
        <is>
          <t>Orlando</t>
        </is>
      </c>
      <c r="K31" t="inlineStr">
        <is>
          <t>Florida</t>
        </is>
      </c>
      <c r="L31" t="inlineStr">
        <is>
          <t>http://www.searchinc.com</t>
        </is>
      </c>
      <c r="M31" t="inlineStr">
        <is>
          <t>http://www.linkedin.com/company/search-archaeology</t>
        </is>
      </c>
      <c r="N31" t="inlineStr">
        <is>
          <t>1993</t>
        </is>
      </c>
    </row>
    <row r="32">
      <c r="A32" t="inlineStr">
        <is>
          <t>Tier 1 - Strong Fit</t>
        </is>
      </c>
      <c r="B32" t="inlineStr">
        <is>
          <t>Insight Assurance</t>
        </is>
      </c>
      <c r="C32" t="inlineStr">
        <is>
          <t>180</t>
        </is>
      </c>
      <c r="D32" t="inlineStr">
        <is>
          <t>10000000</t>
        </is>
      </c>
      <c r="E32" s="2">
        <f>HYPERLINK("https://www.linkedin.com/in/jesusinsightassurance","Jesus Jimenez")</f>
        <v/>
      </c>
      <c r="F32" t="inlineStr">
        <is>
          <t>Self</t>
        </is>
      </c>
      <c r="G32" t="inlineStr">
        <is>
          <t>No</t>
        </is>
      </c>
      <c r="H32" t="inlineStr">
        <is>
          <t>Good</t>
        </is>
      </c>
      <c r="I32" t="inlineStr">
        <is>
          <t>computer &amp; network security</t>
        </is>
      </c>
      <c r="J32" t="inlineStr">
        <is>
          <t>Tampa</t>
        </is>
      </c>
      <c r="K32" t="inlineStr">
        <is>
          <t>Florida</t>
        </is>
      </c>
      <c r="L32" t="inlineStr">
        <is>
          <t>http://www.insightassurance.com</t>
        </is>
      </c>
      <c r="M32" t="inlineStr">
        <is>
          <t>http://www.linkedin.com/company/insight-assurance</t>
        </is>
      </c>
      <c r="N32" t="inlineStr">
        <is>
          <t>2020</t>
        </is>
      </c>
    </row>
    <row r="33">
      <c r="A33" t="inlineStr">
        <is>
          <t>Tier 1 - Strong Fit</t>
        </is>
      </c>
      <c r="B33" t="inlineStr">
        <is>
          <t>HSP Group</t>
        </is>
      </c>
      <c r="C33" t="inlineStr">
        <is>
          <t>170</t>
        </is>
      </c>
      <c r="D33" t="inlineStr">
        <is>
          <t>47700000</t>
        </is>
      </c>
      <c r="E33" s="2">
        <f>HYPERLINK("https://www.linkedin.com/in/larry-harding-a986148","Larry Harding")</f>
        <v/>
      </c>
      <c r="F33" t="inlineStr">
        <is>
          <t>Self</t>
        </is>
      </c>
      <c r="G33" t="inlineStr">
        <is>
          <t>No</t>
        </is>
      </c>
      <c r="H33" t="inlineStr">
        <is>
          <t>Good</t>
        </is>
      </c>
      <c r="I33" t="inlineStr">
        <is>
          <t>management consulting</t>
        </is>
      </c>
      <c r="J33" t="inlineStr">
        <is>
          <t>Tampa</t>
        </is>
      </c>
      <c r="K33" t="inlineStr">
        <is>
          <t>Florida</t>
        </is>
      </c>
      <c r="L33" t="inlineStr">
        <is>
          <t>http://www.hsp.com</t>
        </is>
      </c>
      <c r="M33" t="inlineStr">
        <is>
          <t>http://www.linkedin.com/company/hsp-group-inc</t>
        </is>
      </c>
      <c r="N33" t="inlineStr">
        <is>
          <t>2020</t>
        </is>
      </c>
    </row>
    <row r="34">
      <c r="A34" t="inlineStr">
        <is>
          <t>Tier 1 - Strong Fit</t>
        </is>
      </c>
      <c r="B34" t="inlineStr">
        <is>
          <t>Ferran Services &amp; Contracting, Inc</t>
        </is>
      </c>
      <c r="C34" t="inlineStr">
        <is>
          <t>98</t>
        </is>
      </c>
      <c r="D34" t="inlineStr">
        <is>
          <t>20000000</t>
        </is>
      </c>
      <c r="E34" s="2">
        <f>HYPERLINK("https://www.linkedin.com/in/dolph-marmetschke-aa917b24","Dolph Marmetschke")</f>
        <v/>
      </c>
      <c r="F34" t="inlineStr">
        <is>
          <t>Self</t>
        </is>
      </c>
      <c r="G34" t="inlineStr">
        <is>
          <t>No</t>
        </is>
      </c>
      <c r="H34" t="inlineStr">
        <is>
          <t>Average</t>
        </is>
      </c>
      <c r="I34" t="inlineStr">
        <is>
          <t>facilities services</t>
        </is>
      </c>
      <c r="J34" t="inlineStr">
        <is>
          <t>Orlando</t>
        </is>
      </c>
      <c r="K34" t="inlineStr">
        <is>
          <t>Florida</t>
        </is>
      </c>
      <c r="L34" t="inlineStr">
        <is>
          <t>http://www.ferran-services.com</t>
        </is>
      </c>
      <c r="M34" t="inlineStr">
        <is>
          <t>http://www.linkedin.com/company/ferran-services-&amp;-contracting-inc</t>
        </is>
      </c>
      <c r="N34" t="inlineStr">
        <is>
          <t>1910</t>
        </is>
      </c>
    </row>
    <row r="35">
      <c r="A35" t="inlineStr">
        <is>
          <t>Tier 1 - Strong Fit</t>
        </is>
      </c>
      <c r="B35" t="inlineStr">
        <is>
          <t>United Electrical Sales</t>
        </is>
      </c>
      <c r="C35" t="inlineStr">
        <is>
          <t>97</t>
        </is>
      </c>
      <c r="D35" t="inlineStr">
        <is>
          <t>23352000</t>
        </is>
      </c>
      <c r="E35" s="3" t="inlineStr">
        <is>
          <t>Willis J. Milner IV</t>
        </is>
      </c>
      <c r="F35" t="inlineStr">
        <is>
          <t>Family</t>
        </is>
      </c>
      <c r="G35" t="inlineStr">
        <is>
          <t>No</t>
        </is>
      </c>
      <c r="H35" t="inlineStr">
        <is>
          <t>Average</t>
        </is>
      </c>
      <c r="I35" t="inlineStr">
        <is>
          <t>electrical/electronic manufacturing</t>
        </is>
      </c>
      <c r="J35" t="inlineStr">
        <is>
          <t>Orlando</t>
        </is>
      </c>
      <c r="K35" t="inlineStr">
        <is>
          <t>Florida</t>
        </is>
      </c>
      <c r="L35" t="inlineStr">
        <is>
          <t>http://www.uesrep.com</t>
        </is>
      </c>
      <c r="M35" t="inlineStr">
        <is>
          <t>http://www.linkedin.com/company/electrical-products-inc.</t>
        </is>
      </c>
      <c r="N35" t="inlineStr">
        <is>
          <t>1946</t>
        </is>
      </c>
    </row>
    <row r="36">
      <c r="A36" t="inlineStr">
        <is>
          <t>Tier 1 - Strong Fit</t>
        </is>
      </c>
      <c r="B36" t="inlineStr">
        <is>
          <t>DOW Technologies</t>
        </is>
      </c>
      <c r="C36" t="inlineStr">
        <is>
          <t>96</t>
        </is>
      </c>
      <c r="D36" t="inlineStr">
        <is>
          <t>43464000</t>
        </is>
      </c>
      <c r="E36" s="3" t="inlineStr">
        <is>
          <t>John Yodzis</t>
        </is>
      </c>
      <c r="F36" t="inlineStr">
        <is>
          <t>Family</t>
        </is>
      </c>
      <c r="G36" t="inlineStr">
        <is>
          <t>No</t>
        </is>
      </c>
      <c r="H36" t="inlineStr">
        <is>
          <t>Average</t>
        </is>
      </c>
      <c r="I36" t="inlineStr">
        <is>
          <t>wholesale</t>
        </is>
      </c>
      <c r="J36" t="inlineStr">
        <is>
          <t>Tampa</t>
        </is>
      </c>
      <c r="K36" t="inlineStr">
        <is>
          <t>Florida</t>
        </is>
      </c>
      <c r="L36" t="inlineStr">
        <is>
          <t>http://www.dowtechnologies.com</t>
        </is>
      </c>
      <c r="M36" t="inlineStr">
        <is>
          <t>http://www.linkedin.com/company/dowtechnologies</t>
        </is>
      </c>
      <c r="N36" t="inlineStr">
        <is>
          <t>1959</t>
        </is>
      </c>
    </row>
    <row r="37">
      <c r="A37" t="inlineStr">
        <is>
          <t>Tier 1 - Strong Fit</t>
        </is>
      </c>
      <c r="B37" t="inlineStr">
        <is>
          <t>CQ Insulation</t>
        </is>
      </c>
      <c r="C37" t="inlineStr">
        <is>
          <t>93</t>
        </is>
      </c>
      <c r="D37" t="inlineStr">
        <is>
          <t>13994000</t>
        </is>
      </c>
      <c r="E37" s="3" t="inlineStr">
        <is>
          <t>Not found</t>
        </is>
      </c>
      <c r="F37" t="inlineStr">
        <is>
          <t>Public</t>
        </is>
      </c>
      <c r="G37" t="inlineStr">
        <is>
          <t>No</t>
        </is>
      </c>
      <c r="H37" t="inlineStr">
        <is>
          <t>Average</t>
        </is>
      </c>
      <c r="I37" t="inlineStr">
        <is>
          <t>construction</t>
        </is>
      </c>
      <c r="J37" t="inlineStr">
        <is>
          <t>Tampa</t>
        </is>
      </c>
      <c r="K37" t="inlineStr">
        <is>
          <t>Florida</t>
        </is>
      </c>
      <c r="L37" t="inlineStr">
        <is>
          <t>http://www.cqinsulation.com</t>
        </is>
      </c>
      <c r="M37" t="inlineStr">
        <is>
          <t>http://www.linkedin.com/company/c-q-insulation-inc-</t>
        </is>
      </c>
      <c r="N37" t="inlineStr">
        <is>
          <t>2003</t>
        </is>
      </c>
    </row>
    <row r="38">
      <c r="A38" t="inlineStr">
        <is>
          <t>Tier 1 - Strong Fit</t>
        </is>
      </c>
      <c r="B38" t="inlineStr">
        <is>
          <t>GLE Associates, Inc.</t>
        </is>
      </c>
      <c r="C38" t="inlineStr">
        <is>
          <t>88</t>
        </is>
      </c>
      <c r="D38" t="inlineStr">
        <is>
          <t>18900000</t>
        </is>
      </c>
      <c r="E38" s="2">
        <f>HYPERLINK("https://www.linkedin.com/in/bobbgreene","Bob Greene")</f>
        <v/>
      </c>
      <c r="F38" t="inlineStr">
        <is>
          <t>Self</t>
        </is>
      </c>
      <c r="G38" t="inlineStr">
        <is>
          <t>No</t>
        </is>
      </c>
      <c r="H38" t="inlineStr">
        <is>
          <t>Good</t>
        </is>
      </c>
      <c r="I38" t="inlineStr">
        <is>
          <t>facilities services</t>
        </is>
      </c>
      <c r="J38" t="inlineStr">
        <is>
          <t>Tampa</t>
        </is>
      </c>
      <c r="K38" t="inlineStr">
        <is>
          <t>Florida</t>
        </is>
      </c>
      <c r="L38" t="inlineStr">
        <is>
          <t>http://www.gleassociates.com</t>
        </is>
      </c>
      <c r="M38" t="inlineStr">
        <is>
          <t>http://www.linkedin.com/company/gle-associates-inc</t>
        </is>
      </c>
      <c r="N38" t="inlineStr">
        <is>
          <t>1989</t>
        </is>
      </c>
    </row>
    <row r="39">
      <c r="A39" t="inlineStr">
        <is>
          <t>Tier 1 - Strong Fit</t>
        </is>
      </c>
      <c r="B39" t="inlineStr">
        <is>
          <t>Pavion, Formerly Star Asset Security</t>
        </is>
      </c>
      <c r="C39" t="inlineStr">
        <is>
          <t>84</t>
        </is>
      </c>
      <c r="D39" t="inlineStr">
        <is>
          <t>12000000</t>
        </is>
      </c>
      <c r="E39" s="3" t="inlineStr">
        <is>
          <t>Joe Oliveri</t>
        </is>
      </c>
      <c r="F39" t="inlineStr">
        <is>
          <t>Small PE</t>
        </is>
      </c>
      <c r="G39" t="inlineStr">
        <is>
          <t>No</t>
        </is>
      </c>
      <c r="H39" t="inlineStr">
        <is>
          <t>Average</t>
        </is>
      </c>
      <c r="I39" t="inlineStr">
        <is>
          <t>security &amp; investigations</t>
        </is>
      </c>
      <c r="J39" t="inlineStr">
        <is>
          <t>Orlando</t>
        </is>
      </c>
      <c r="K39" t="inlineStr">
        <is>
          <t>Florida</t>
        </is>
      </c>
      <c r="L39" t="inlineStr">
        <is>
          <t>http://www.securethinking.com</t>
        </is>
      </c>
      <c r="M39" t="inlineStr">
        <is>
          <t>http://www.linkedin.com/company/starassetsecurity</t>
        </is>
      </c>
      <c r="N39" t="inlineStr">
        <is>
          <t>1993</t>
        </is>
      </c>
    </row>
    <row r="40">
      <c r="A40" t="inlineStr">
        <is>
          <t>Tier 1 - Strong Fit</t>
        </is>
      </c>
      <c r="B40" t="inlineStr">
        <is>
          <t>HARRY WARREN, INC.</t>
        </is>
      </c>
      <c r="C40" t="inlineStr">
        <is>
          <t>80</t>
        </is>
      </c>
      <c r="D40" t="inlineStr">
        <is>
          <t>11741000</t>
        </is>
      </c>
      <c r="E40" s="3" t="inlineStr">
        <is>
          <t>Not found</t>
        </is>
      </c>
      <c r="F40" t="inlineStr">
        <is>
          <t>Family</t>
        </is>
      </c>
      <c r="G40" t="inlineStr">
        <is>
          <t>No</t>
        </is>
      </c>
      <c r="H40" t="inlineStr">
        <is>
          <t>Average</t>
        </is>
      </c>
      <c r="I40" t="inlineStr">
        <is>
          <t>building materials</t>
        </is>
      </c>
      <c r="J40" t="inlineStr">
        <is>
          <t>Orlando</t>
        </is>
      </c>
      <c r="K40" t="inlineStr">
        <is>
          <t>Florida</t>
        </is>
      </c>
      <c r="L40" t="inlineStr">
        <is>
          <t>http://www.harrywarren.com</t>
        </is>
      </c>
      <c r="M40" t="inlineStr">
        <is>
          <t>http://www.linkedin.com/company/harry-warren-inc.</t>
        </is>
      </c>
      <c r="N40" t="inlineStr">
        <is>
          <t>1974</t>
        </is>
      </c>
    </row>
    <row r="41">
      <c r="A41" t="inlineStr">
        <is>
          <t>Tier 1 - Strong Fit</t>
        </is>
      </c>
      <c r="B41" t="inlineStr">
        <is>
          <t>EMCOR Services  MSI - Mechanical Services</t>
        </is>
      </c>
      <c r="C41" t="inlineStr">
        <is>
          <t>77</t>
        </is>
      </c>
      <c r="D41" t="inlineStr">
        <is>
          <t>11852000</t>
        </is>
      </c>
      <c r="E41" s="3" t="inlineStr">
        <is>
          <t>Not found</t>
        </is>
      </c>
      <c r="F41" t="inlineStr">
        <is>
          <t>Public</t>
        </is>
      </c>
      <c r="G41" t="inlineStr">
        <is>
          <t>No</t>
        </is>
      </c>
      <c r="H41" t="inlineStr">
        <is>
          <t>Average</t>
        </is>
      </c>
      <c r="I41" t="inlineStr">
        <is>
          <t>facilities services</t>
        </is>
      </c>
      <c r="J41" t="inlineStr">
        <is>
          <t>Orlando</t>
        </is>
      </c>
      <c r="K41" t="inlineStr">
        <is>
          <t>Florida</t>
        </is>
      </c>
      <c r="L41" t="inlineStr">
        <is>
          <t>http://www.msifla.com</t>
        </is>
      </c>
      <c r="M41" t="inlineStr">
        <is>
          <t>http://www.linkedin.com/company/emcor-services-msi-mechanical-services</t>
        </is>
      </c>
    </row>
    <row r="42">
      <c r="A42" t="inlineStr">
        <is>
          <t>Tier 1 - Strong Fit</t>
        </is>
      </c>
      <c r="B42" t="inlineStr">
        <is>
          <t>Bates Electric</t>
        </is>
      </c>
      <c r="C42" t="inlineStr">
        <is>
          <t>70</t>
        </is>
      </c>
      <c r="D42" t="inlineStr">
        <is>
          <t>24655000</t>
        </is>
      </c>
      <c r="E42" s="3" t="inlineStr">
        <is>
          <t>Not found</t>
        </is>
      </c>
      <c r="F42" t="inlineStr">
        <is>
          <t>Self</t>
        </is>
      </c>
      <c r="G42" t="inlineStr">
        <is>
          <t>No</t>
        </is>
      </c>
      <c r="H42" t="inlineStr">
        <is>
          <t>Average</t>
        </is>
      </c>
      <c r="I42" t="inlineStr">
        <is>
          <t>construction</t>
        </is>
      </c>
      <c r="J42" t="inlineStr">
        <is>
          <t>Tampa</t>
        </is>
      </c>
      <c r="K42" t="inlineStr">
        <is>
          <t>Florida</t>
        </is>
      </c>
      <c r="L42" t="inlineStr">
        <is>
          <t>http://www.bates-electric.com</t>
        </is>
      </c>
      <c r="M42" t="inlineStr">
        <is>
          <t>http://www.linkedin.com/company/bateselectric</t>
        </is>
      </c>
      <c r="N42" t="inlineStr">
        <is>
          <t>1985</t>
        </is>
      </c>
    </row>
    <row r="43">
      <c r="A43" t="inlineStr">
        <is>
          <t>Tier 1 - Strong Fit</t>
        </is>
      </c>
      <c r="B43" t="inlineStr">
        <is>
          <t>Stan Weaver North &amp; Central Florida</t>
        </is>
      </c>
      <c r="C43" t="inlineStr">
        <is>
          <t>69</t>
        </is>
      </c>
      <c r="D43" t="inlineStr">
        <is>
          <t>20715000</t>
        </is>
      </c>
      <c r="E43" s="3" t="inlineStr">
        <is>
          <t>Not found</t>
        </is>
      </c>
      <c r="F43" t="inlineStr">
        <is>
          <t>Self</t>
        </is>
      </c>
      <c r="G43" t="inlineStr">
        <is>
          <t>No</t>
        </is>
      </c>
      <c r="H43" t="inlineStr">
        <is>
          <t>Average</t>
        </is>
      </c>
      <c r="I43" t="inlineStr">
        <is>
          <t>building materials</t>
        </is>
      </c>
      <c r="J43" t="inlineStr">
        <is>
          <t>Tampa</t>
        </is>
      </c>
      <c r="K43" t="inlineStr">
        <is>
          <t>Florida</t>
        </is>
      </c>
      <c r="L43" t="inlineStr">
        <is>
          <t>http://www.stanweaver.com</t>
        </is>
      </c>
      <c r="M43" t="inlineStr">
        <is>
          <t>http://www.linkedin.com/company/stan-weaver</t>
        </is>
      </c>
      <c r="N43" t="inlineStr">
        <is>
          <t>1978</t>
        </is>
      </c>
    </row>
    <row r="44">
      <c r="A44" t="inlineStr">
        <is>
          <t>Tier 1 - Strong Fit</t>
        </is>
      </c>
      <c r="B44" t="inlineStr">
        <is>
          <t>Dynamic Equipment Group</t>
        </is>
      </c>
      <c r="C44" t="inlineStr">
        <is>
          <t>69</t>
        </is>
      </c>
      <c r="D44" t="inlineStr">
        <is>
          <t>25863000</t>
        </is>
      </c>
      <c r="E44" s="3" t="inlineStr">
        <is>
          <t>Not found</t>
        </is>
      </c>
      <c r="F44" t="inlineStr">
        <is>
          <t>Self</t>
        </is>
      </c>
      <c r="G44" t="inlineStr">
        <is>
          <t>No</t>
        </is>
      </c>
      <c r="H44" t="inlineStr">
        <is>
          <t>Average</t>
        </is>
      </c>
      <c r="I44" t="inlineStr">
        <is>
          <t>machinery</t>
        </is>
      </c>
      <c r="J44" t="inlineStr">
        <is>
          <t>Tampa</t>
        </is>
      </c>
      <c r="K44" t="inlineStr">
        <is>
          <t>Florida</t>
        </is>
      </c>
      <c r="L44" t="inlineStr">
        <is>
          <t>http://www.dynamicequipmentgroup.com</t>
        </is>
      </c>
      <c r="M44" t="inlineStr">
        <is>
          <t>http://www.linkedin.com/company/dynamic-equipment-group</t>
        </is>
      </c>
    </row>
    <row r="45">
      <c r="A45" t="inlineStr">
        <is>
          <t>Tier 1 - Strong Fit</t>
        </is>
      </c>
      <c r="B45" t="inlineStr">
        <is>
          <t>Erwin Electric, Inc.</t>
        </is>
      </c>
      <c r="C45" t="inlineStr">
        <is>
          <t>65</t>
        </is>
      </c>
      <c r="D45" t="inlineStr">
        <is>
          <t>48500000</t>
        </is>
      </c>
      <c r="E45" s="3" t="inlineStr">
        <is>
          <t>Not found</t>
        </is>
      </c>
      <c r="F45" t="inlineStr">
        <is>
          <t>Family</t>
        </is>
      </c>
      <c r="G45" t="inlineStr">
        <is>
          <t>No</t>
        </is>
      </c>
      <c r="H45" t="inlineStr">
        <is>
          <t>Average</t>
        </is>
      </c>
      <c r="I45" t="inlineStr">
        <is>
          <t>construction</t>
        </is>
      </c>
      <c r="J45" t="inlineStr">
        <is>
          <t>Tampa</t>
        </is>
      </c>
      <c r="K45" t="inlineStr">
        <is>
          <t>Florida</t>
        </is>
      </c>
      <c r="L45" t="inlineStr">
        <is>
          <t>http://www.erwinelectric.com</t>
        </is>
      </c>
      <c r="M45" t="inlineStr">
        <is>
          <t>http://www.linkedin.com/company/erwin-electric</t>
        </is>
      </c>
      <c r="N45" t="inlineStr">
        <is>
          <t>1997</t>
        </is>
      </c>
    </row>
    <row r="46">
      <c r="A46" t="inlineStr">
        <is>
          <t>Tier 1 - Strong Fit</t>
        </is>
      </c>
      <c r="B46" t="inlineStr">
        <is>
          <t>The Carroll Adams Group</t>
        </is>
      </c>
      <c r="C46" t="inlineStr">
        <is>
          <t>63</t>
        </is>
      </c>
      <c r="D46" t="inlineStr">
        <is>
          <t>15000000</t>
        </is>
      </c>
      <c r="E46" s="3" t="inlineStr">
        <is>
          <t>Not found</t>
        </is>
      </c>
      <c r="F46" t="inlineStr">
        <is>
          <t>Self</t>
        </is>
      </c>
      <c r="G46" t="inlineStr">
        <is>
          <t>No</t>
        </is>
      </c>
      <c r="H46" t="inlineStr">
        <is>
          <t>Average</t>
        </is>
      </c>
      <c r="I46" t="inlineStr">
        <is>
          <t>hospitality</t>
        </is>
      </c>
      <c r="J46" t="inlineStr">
        <is>
          <t>Orlando</t>
        </is>
      </c>
      <c r="K46" t="inlineStr">
        <is>
          <t>Florida</t>
        </is>
      </c>
      <c r="L46" t="inlineStr">
        <is>
          <t>http://www.carrolladams.com</t>
        </is>
      </c>
      <c r="M46" t="inlineStr">
        <is>
          <t>http://www.linkedin.com/company/the-carroll-adams-group</t>
        </is>
      </c>
      <c r="N46" t="inlineStr">
        <is>
          <t>2001</t>
        </is>
      </c>
    </row>
    <row r="47">
      <c r="A47" t="inlineStr">
        <is>
          <t>Tier 1 - Strong Fit</t>
        </is>
      </c>
      <c r="B47" t="inlineStr">
        <is>
          <t>Acree Plumbing &amp; Air</t>
        </is>
      </c>
      <c r="C47" t="inlineStr">
        <is>
          <t>61</t>
        </is>
      </c>
      <c r="D47" t="inlineStr">
        <is>
          <t>15000000</t>
        </is>
      </c>
      <c r="E47" s="3" t="inlineStr">
        <is>
          <t>Jeffrey Cooper</t>
        </is>
      </c>
      <c r="F47" t="inlineStr">
        <is>
          <t>Small PE</t>
        </is>
      </c>
      <c r="G47" t="inlineStr">
        <is>
          <t>No</t>
        </is>
      </c>
      <c r="H47" t="inlineStr">
        <is>
          <t>Average</t>
        </is>
      </c>
      <c r="I47" t="inlineStr">
        <is>
          <t>construction</t>
        </is>
      </c>
      <c r="J47" t="inlineStr">
        <is>
          <t>Tampa</t>
        </is>
      </c>
      <c r="K47" t="inlineStr">
        <is>
          <t>Florida</t>
        </is>
      </c>
      <c r="L47" t="inlineStr">
        <is>
          <t>http://www.trustacree.com</t>
        </is>
      </c>
      <c r="M47" t="inlineStr">
        <is>
          <t>http://www.linkedin.com/company/acree-plumbing-&amp;-air</t>
        </is>
      </c>
      <c r="N47" t="inlineStr">
        <is>
          <t>1967</t>
        </is>
      </c>
    </row>
    <row r="48">
      <c r="A48" t="inlineStr">
        <is>
          <t>Tier 1 - Strong Fit</t>
        </is>
      </c>
      <c r="B48" t="inlineStr">
        <is>
          <t>C&amp;C Painting</t>
        </is>
      </c>
      <c r="C48" t="inlineStr">
        <is>
          <t>59</t>
        </is>
      </c>
      <c r="D48" t="inlineStr">
        <is>
          <t>22200000</t>
        </is>
      </c>
      <c r="E48" s="2">
        <f>HYPERLINK("https://www.linkedin.com/in/carlos-cubas-a8254911","Carlos Cubas")</f>
        <v/>
      </c>
      <c r="F48" t="inlineStr">
        <is>
          <t>Self</t>
        </is>
      </c>
      <c r="G48" t="inlineStr">
        <is>
          <t>No</t>
        </is>
      </c>
      <c r="H48" t="inlineStr">
        <is>
          <t>Average</t>
        </is>
      </c>
      <c r="I48" t="inlineStr">
        <is>
          <t>consumer services</t>
        </is>
      </c>
      <c r="J48" t="inlineStr">
        <is>
          <t>Tampa</t>
        </is>
      </c>
      <c r="K48" t="inlineStr">
        <is>
          <t>Florida</t>
        </is>
      </c>
      <c r="L48" t="inlineStr">
        <is>
          <t>http://www.ccpainting.com</t>
        </is>
      </c>
      <c r="M48" t="inlineStr">
        <is>
          <t>http://www.linkedin.com/company/c&amp;c-painting</t>
        </is>
      </c>
      <c r="N48" t="inlineStr">
        <is>
          <t>1994</t>
        </is>
      </c>
    </row>
    <row r="49">
      <c r="A49" t="inlineStr">
        <is>
          <t>Tier 1 - Strong Fit</t>
        </is>
      </c>
      <c r="B49" t="inlineStr">
        <is>
          <t>Tampa Bay Steel, LLC</t>
        </is>
      </c>
      <c r="C49" t="inlineStr">
        <is>
          <t>58</t>
        </is>
      </c>
      <c r="D49" t="inlineStr">
        <is>
          <t>32000000</t>
        </is>
      </c>
      <c r="E49" s="3" t="inlineStr">
        <is>
          <t>Mark Stewart</t>
        </is>
      </c>
      <c r="F49" t="inlineStr">
        <is>
          <t>Public</t>
        </is>
      </c>
      <c r="G49" t="inlineStr">
        <is>
          <t>No</t>
        </is>
      </c>
      <c r="H49" t="inlineStr">
        <is>
          <t>Average</t>
        </is>
      </c>
      <c r="I49" t="inlineStr">
        <is>
          <t>machinery</t>
        </is>
      </c>
      <c r="J49" t="inlineStr">
        <is>
          <t>Tampa</t>
        </is>
      </c>
      <c r="K49" t="inlineStr">
        <is>
          <t>Florida</t>
        </is>
      </c>
      <c r="L49" t="inlineStr">
        <is>
          <t>http://www.tampabaysteel.com</t>
        </is>
      </c>
      <c r="M49" t="inlineStr">
        <is>
          <t>http://www.linkedin.com/company/tampa-bay-steel</t>
        </is>
      </c>
      <c r="N49" t="inlineStr">
        <is>
          <t>1980</t>
        </is>
      </c>
    </row>
    <row r="50">
      <c r="A50" t="inlineStr">
        <is>
          <t>Tier 1 - Strong Fit</t>
        </is>
      </c>
      <c r="B50" t="inlineStr">
        <is>
          <t>Cox Fire Protection</t>
        </is>
      </c>
      <c r="C50" t="inlineStr">
        <is>
          <t>58</t>
        </is>
      </c>
      <c r="D50" t="inlineStr">
        <is>
          <t>39000000</t>
        </is>
      </c>
      <c r="E50" s="3" t="inlineStr">
        <is>
          <t>Scott Cox</t>
        </is>
      </c>
      <c r="F50" t="inlineStr">
        <is>
          <t>Small PE</t>
        </is>
      </c>
      <c r="G50" t="inlineStr">
        <is>
          <t>No</t>
        </is>
      </c>
      <c r="H50" t="inlineStr">
        <is>
          <t>Average</t>
        </is>
      </c>
      <c r="I50" t="inlineStr">
        <is>
          <t>construction</t>
        </is>
      </c>
      <c r="J50" t="inlineStr">
        <is>
          <t>Tampa</t>
        </is>
      </c>
      <c r="K50" t="inlineStr">
        <is>
          <t>Florida</t>
        </is>
      </c>
      <c r="L50" t="inlineStr">
        <is>
          <t>http://www.coxfire.com</t>
        </is>
      </c>
      <c r="M50" t="inlineStr">
        <is>
          <t>http://www.linkedin.com/company/cox-fire-protection</t>
        </is>
      </c>
      <c r="N50" t="inlineStr">
        <is>
          <t>1984</t>
        </is>
      </c>
    </row>
    <row r="51">
      <c r="A51" t="inlineStr">
        <is>
          <t>Tier 1 - Strong Fit</t>
        </is>
      </c>
      <c r="B51" t="inlineStr">
        <is>
          <t>Forcon International</t>
        </is>
      </c>
      <c r="C51" t="inlineStr">
        <is>
          <t>51</t>
        </is>
      </c>
      <c r="D51" t="inlineStr">
        <is>
          <t>42851000</t>
        </is>
      </c>
      <c r="E51" s="2">
        <f>HYPERLINK("https://www.linkedin.com/in/michael-sugar-iii-leed%C2%AE-ap-01a86820","Michael Sugar III")</f>
        <v/>
      </c>
      <c r="F51" t="inlineStr">
        <is>
          <t>Self</t>
        </is>
      </c>
      <c r="G51" t="inlineStr">
        <is>
          <t>No</t>
        </is>
      </c>
      <c r="H51" t="inlineStr">
        <is>
          <t>Average</t>
        </is>
      </c>
      <c r="I51" t="inlineStr">
        <is>
          <t>civil engineering</t>
        </is>
      </c>
      <c r="J51" t="inlineStr">
        <is>
          <t>Tampa</t>
        </is>
      </c>
      <c r="K51" t="inlineStr">
        <is>
          <t>Florida</t>
        </is>
      </c>
      <c r="L51" t="inlineStr">
        <is>
          <t>http://www.forcon.com</t>
        </is>
      </c>
      <c r="M51" t="inlineStr">
        <is>
          <t>http://www.linkedin.com/company/forcon-international</t>
        </is>
      </c>
      <c r="N51" t="inlineStr">
        <is>
          <t>1984</t>
        </is>
      </c>
    </row>
    <row r="52">
      <c r="A52" t="inlineStr">
        <is>
          <t>Tier 1 - Strong Fit</t>
        </is>
      </c>
      <c r="B52" t="inlineStr">
        <is>
          <t>Mader Southeast</t>
        </is>
      </c>
      <c r="C52" t="inlineStr">
        <is>
          <t>50</t>
        </is>
      </c>
      <c r="D52" t="inlineStr">
        <is>
          <t>24174000</t>
        </is>
      </c>
      <c r="E52" s="2">
        <f>HYPERLINK("https://www.linkedin.com/in/jim-morehead-133b92a0","Jim Morehead")</f>
        <v/>
      </c>
      <c r="F52" t="inlineStr">
        <is>
          <t>Self</t>
        </is>
      </c>
      <c r="G52" t="inlineStr">
        <is>
          <t>No</t>
        </is>
      </c>
      <c r="H52" t="inlineStr">
        <is>
          <t>Average</t>
        </is>
      </c>
      <c r="I52" t="inlineStr">
        <is>
          <t>construction</t>
        </is>
      </c>
      <c r="J52" t="inlineStr">
        <is>
          <t>Orlando</t>
        </is>
      </c>
      <c r="K52" t="inlineStr">
        <is>
          <t>Florida</t>
        </is>
      </c>
      <c r="L52" t="inlineStr">
        <is>
          <t>http://www.madersoutheast.com</t>
        </is>
      </c>
      <c r="M52" t="inlineStr">
        <is>
          <t>http://www.linkedin.com/company/mader-southeast</t>
        </is>
      </c>
      <c r="N52" t="inlineStr">
        <is>
          <t>1985</t>
        </is>
      </c>
    </row>
    <row r="53">
      <c r="A53" t="inlineStr">
        <is>
          <t>Tier 1 - Strong Fit</t>
        </is>
      </c>
      <c r="B53" t="inlineStr">
        <is>
          <t>Fire Safety and Protection</t>
        </is>
      </c>
      <c r="C53" t="inlineStr">
        <is>
          <t>360</t>
        </is>
      </c>
      <c r="D53" t="inlineStr">
        <is>
          <t>42100000</t>
        </is>
      </c>
      <c r="E53" s="3" t="inlineStr">
        <is>
          <t>Curt Bagnall</t>
        </is>
      </c>
      <c r="F53" t="inlineStr">
        <is>
          <t>Small PE</t>
        </is>
      </c>
      <c r="G53" t="inlineStr">
        <is>
          <t>No</t>
        </is>
      </c>
      <c r="H53" t="inlineStr">
        <is>
          <t>Average</t>
        </is>
      </c>
      <c r="I53" t="inlineStr">
        <is>
          <t>facilities services</t>
        </is>
      </c>
      <c r="J53" t="inlineStr">
        <is>
          <t>Atlanta</t>
        </is>
      </c>
      <c r="K53" t="inlineStr">
        <is>
          <t>Georgia</t>
        </is>
      </c>
      <c r="L53" t="inlineStr">
        <is>
          <t>http://www.firesp.com</t>
        </is>
      </c>
      <c r="M53" t="inlineStr">
        <is>
          <t>http://www.linkedin.com/company/fire-safety-and-protection-llc</t>
        </is>
      </c>
      <c r="N53" t="inlineStr">
        <is>
          <t>2018</t>
        </is>
      </c>
    </row>
    <row r="54">
      <c r="A54" t="inlineStr">
        <is>
          <t>Tier 1 - Strong Fit</t>
        </is>
      </c>
      <c r="B54" t="inlineStr">
        <is>
          <t>AmeriSpec Inspection Services</t>
        </is>
      </c>
      <c r="C54" t="inlineStr">
        <is>
          <t>330</t>
        </is>
      </c>
      <c r="D54" t="inlineStr">
        <is>
          <t>25000000</t>
        </is>
      </c>
      <c r="E54" s="3" t="inlineStr">
        <is>
          <t>Not found</t>
        </is>
      </c>
      <c r="F54" t="inlineStr">
        <is>
          <t>Big PE</t>
        </is>
      </c>
      <c r="G54" t="inlineStr">
        <is>
          <t>No</t>
        </is>
      </c>
      <c r="H54" t="inlineStr">
        <is>
          <t>Average</t>
        </is>
      </c>
      <c r="I54" t="inlineStr">
        <is>
          <t>real estate</t>
        </is>
      </c>
      <c r="J54" t="inlineStr">
        <is>
          <t>Atlanta</t>
        </is>
      </c>
      <c r="K54" t="inlineStr">
        <is>
          <t>Georgia</t>
        </is>
      </c>
      <c r="L54" t="inlineStr">
        <is>
          <t>http://www.amerispec.com</t>
        </is>
      </c>
      <c r="M54" t="inlineStr">
        <is>
          <t>http://www.linkedin.com/company/amerispec-inspection-services</t>
        </is>
      </c>
      <c r="N54" t="inlineStr">
        <is>
          <t>1987</t>
        </is>
      </c>
    </row>
    <row r="55">
      <c r="A55" t="inlineStr">
        <is>
          <t>Tier 1 - Strong Fit</t>
        </is>
      </c>
      <c r="B55" t="inlineStr">
        <is>
          <t>Creative MultiCare</t>
        </is>
      </c>
      <c r="C55" t="inlineStr">
        <is>
          <t>300</t>
        </is>
      </c>
      <c r="D55" t="inlineStr">
        <is>
          <t>29466000</t>
        </is>
      </c>
      <c r="E55" s="3" t="inlineStr">
        <is>
          <t>Jamie Knight</t>
        </is>
      </c>
      <c r="F55" t="inlineStr">
        <is>
          <t>Small PE</t>
        </is>
      </c>
      <c r="G55" t="inlineStr">
        <is>
          <t>No</t>
        </is>
      </c>
      <c r="H55" t="inlineStr">
        <is>
          <t>Average</t>
        </is>
      </c>
      <c r="I55" t="inlineStr">
        <is>
          <t>consumer services</t>
        </is>
      </c>
      <c r="J55" t="inlineStr">
        <is>
          <t>Atlanta</t>
        </is>
      </c>
      <c r="K55" t="inlineStr">
        <is>
          <t>Georgia</t>
        </is>
      </c>
      <c r="L55" t="inlineStr">
        <is>
          <t>http://www.creativemulticare.com</t>
        </is>
      </c>
      <c r="M55" t="inlineStr">
        <is>
          <t>http://www.linkedin.com/company/creative-multicare-llc</t>
        </is>
      </c>
      <c r="N55" t="inlineStr">
        <is>
          <t>1992</t>
        </is>
      </c>
    </row>
    <row r="56">
      <c r="A56" t="inlineStr">
        <is>
          <t>Tier 1 - Strong Fit</t>
        </is>
      </c>
      <c r="B56" t="inlineStr">
        <is>
          <t>Maxair Mechanical</t>
        </is>
      </c>
      <c r="C56" t="inlineStr">
        <is>
          <t>300</t>
        </is>
      </c>
      <c r="D56" t="inlineStr">
        <is>
          <t>21800000</t>
        </is>
      </c>
      <c r="E56" s="3" t="inlineStr">
        <is>
          <t>Not found</t>
        </is>
      </c>
      <c r="F56" t="inlineStr">
        <is>
          <t>Family</t>
        </is>
      </c>
      <c r="G56" t="inlineStr">
        <is>
          <t>No</t>
        </is>
      </c>
      <c r="H56" t="inlineStr">
        <is>
          <t>Average</t>
        </is>
      </c>
      <c r="I56" t="inlineStr">
        <is>
          <t>machinery</t>
        </is>
      </c>
      <c r="J56" t="inlineStr">
        <is>
          <t>Marietta</t>
        </is>
      </c>
      <c r="K56" t="inlineStr">
        <is>
          <t>Georgia</t>
        </is>
      </c>
      <c r="L56" t="inlineStr">
        <is>
          <t>http://www.maxairmech.com</t>
        </is>
      </c>
      <c r="M56" t="inlineStr">
        <is>
          <t>http://www.linkedin.com/company/maxair-mechanical</t>
        </is>
      </c>
      <c r="N56" t="inlineStr">
        <is>
          <t>1988</t>
        </is>
      </c>
    </row>
    <row r="57">
      <c r="A57" t="inlineStr">
        <is>
          <t>Tier 1 - Strong Fit</t>
        </is>
      </c>
      <c r="B57" t="inlineStr">
        <is>
          <t>Reliable Heating &amp; Air</t>
        </is>
      </c>
      <c r="C57" t="inlineStr">
        <is>
          <t>270</t>
        </is>
      </c>
      <c r="D57" t="inlineStr">
        <is>
          <t>20000000</t>
        </is>
      </c>
      <c r="E57" s="3" t="inlineStr">
        <is>
          <t>Not found</t>
        </is>
      </c>
      <c r="F57" t="inlineStr">
        <is>
          <t>Family</t>
        </is>
      </c>
      <c r="G57" t="inlineStr">
        <is>
          <t>No</t>
        </is>
      </c>
      <c r="H57" t="inlineStr">
        <is>
          <t>Average</t>
        </is>
      </c>
      <c r="I57" t="inlineStr">
        <is>
          <t>consumer services</t>
        </is>
      </c>
      <c r="J57" t="inlineStr">
        <is>
          <t>Kennesaw</t>
        </is>
      </c>
      <c r="K57" t="inlineStr">
        <is>
          <t>Georgia</t>
        </is>
      </c>
      <c r="L57" t="inlineStr">
        <is>
          <t>http://www.reliableair.com</t>
        </is>
      </c>
      <c r="M57" t="inlineStr">
        <is>
          <t>http://www.linkedin.com/company/reliable-heating-&amp;-air</t>
        </is>
      </c>
      <c r="N57" t="inlineStr">
        <is>
          <t>1978</t>
        </is>
      </c>
    </row>
    <row r="58">
      <c r="A58" t="inlineStr">
        <is>
          <t>Tier 1 - Strong Fit</t>
        </is>
      </c>
      <c r="B58" t="inlineStr">
        <is>
          <t>Caduceus Healthcare Inc.</t>
        </is>
      </c>
      <c r="C58" t="inlineStr">
        <is>
          <t>230</t>
        </is>
      </c>
      <c r="D58" t="inlineStr">
        <is>
          <t>34142000</t>
        </is>
      </c>
      <c r="E58" s="2">
        <f>HYPERLINK("https://www.linkedin.com/in/carlos-lopez-1386837","Carlos Lopez")</f>
        <v/>
      </c>
      <c r="F58" t="inlineStr">
        <is>
          <t>Self</t>
        </is>
      </c>
      <c r="G58" t="inlineStr">
        <is>
          <t>No</t>
        </is>
      </c>
      <c r="H58" t="inlineStr">
        <is>
          <t>Good</t>
        </is>
      </c>
      <c r="I58" t="inlineStr">
        <is>
          <t>staffing &amp; recruiting</t>
        </is>
      </c>
      <c r="J58" t="inlineStr">
        <is>
          <t>Atlanta</t>
        </is>
      </c>
      <c r="K58" t="inlineStr">
        <is>
          <t>Georgia</t>
        </is>
      </c>
      <c r="L58" t="inlineStr">
        <is>
          <t>http://www.cadgov.com</t>
        </is>
      </c>
      <c r="M58" t="inlineStr">
        <is>
          <t>http://www.linkedin.com/company/caduceus-staffing</t>
        </is>
      </c>
      <c r="N58" t="inlineStr">
        <is>
          <t>2008</t>
        </is>
      </c>
    </row>
    <row r="59">
      <c r="A59" t="inlineStr">
        <is>
          <t>Tier 1 - Strong Fit</t>
        </is>
      </c>
      <c r="B59" t="inlineStr">
        <is>
          <t>The Medical Affairs Company (TMAC)</t>
        </is>
      </c>
      <c r="C59" t="inlineStr">
        <is>
          <t>200</t>
        </is>
      </c>
      <c r="D59" t="inlineStr">
        <is>
          <t>42600000</t>
        </is>
      </c>
      <c r="E59" s="3" t="inlineStr">
        <is>
          <t>Not found</t>
        </is>
      </c>
      <c r="F59" t="inlineStr">
        <is>
          <t>Big PE</t>
        </is>
      </c>
      <c r="G59" t="inlineStr">
        <is>
          <t>No</t>
        </is>
      </c>
      <c r="H59" t="inlineStr">
        <is>
          <t>Average</t>
        </is>
      </c>
      <c r="I59" t="inlineStr">
        <is>
          <t>pharmaceuticals</t>
        </is>
      </c>
      <c r="J59" t="inlineStr">
        <is>
          <t>Kennesaw</t>
        </is>
      </c>
      <c r="K59" t="inlineStr">
        <is>
          <t>Georgia</t>
        </is>
      </c>
      <c r="L59" t="inlineStr">
        <is>
          <t>http://www.themedicalaffairscompany.com</t>
        </is>
      </c>
      <c r="M59" t="inlineStr">
        <is>
          <t>http://www.linkedin.com/company/the-medical-affairs-company</t>
        </is>
      </c>
      <c r="N59" t="inlineStr">
        <is>
          <t>2007</t>
        </is>
      </c>
    </row>
    <row r="60">
      <c r="A60" t="inlineStr">
        <is>
          <t>Tier 1 - Strong Fit</t>
        </is>
      </c>
      <c r="B60" t="inlineStr">
        <is>
          <t>HB NEXT</t>
        </is>
      </c>
      <c r="C60" t="inlineStr">
        <is>
          <t>190</t>
        </is>
      </c>
      <c r="D60" t="inlineStr">
        <is>
          <t>16500000</t>
        </is>
      </c>
      <c r="E60" s="2">
        <f>HYPERLINK("https://www.linkedin.com/in/tonymiddlebrooks","Tony Middlebrooks")</f>
        <v/>
      </c>
      <c r="F60" t="inlineStr">
        <is>
          <t>Self</t>
        </is>
      </c>
      <c r="G60" t="inlineStr">
        <is>
          <t>No</t>
        </is>
      </c>
      <c r="H60" t="inlineStr">
        <is>
          <t>Average</t>
        </is>
      </c>
      <c r="I60" t="inlineStr">
        <is>
          <t>construction</t>
        </is>
      </c>
      <c r="J60" t="inlineStr">
        <is>
          <t>Lawrenceville</t>
        </is>
      </c>
      <c r="K60" t="inlineStr">
        <is>
          <t>Georgia</t>
        </is>
      </c>
      <c r="L60" t="inlineStr">
        <is>
          <t>http://www.hbnext.com</t>
        </is>
      </c>
      <c r="M60" t="inlineStr">
        <is>
          <t>http://www.linkedin.com/company/hbnext</t>
        </is>
      </c>
      <c r="N60" t="inlineStr">
        <is>
          <t>1999</t>
        </is>
      </c>
    </row>
    <row r="61">
      <c r="A61" t="inlineStr">
        <is>
          <t>Tier 1 - Strong Fit</t>
        </is>
      </c>
      <c r="B61" t="inlineStr">
        <is>
          <t>Agility Recovery</t>
        </is>
      </c>
      <c r="C61" t="inlineStr">
        <is>
          <t>170</t>
        </is>
      </c>
      <c r="D61" t="inlineStr">
        <is>
          <t>15200000</t>
        </is>
      </c>
      <c r="E61" s="2">
        <f>HYPERLINK("https://www.linkedin.com/in/marksanfratello","Mark San Fratello")</f>
        <v/>
      </c>
      <c r="F61" t="inlineStr">
        <is>
          <t>Small PE</t>
        </is>
      </c>
      <c r="G61" t="inlineStr">
        <is>
          <t>No</t>
        </is>
      </c>
      <c r="H61" t="inlineStr">
        <is>
          <t>Good</t>
        </is>
      </c>
      <c r="I61" t="inlineStr">
        <is>
          <t>management consulting</t>
        </is>
      </c>
      <c r="J61" t="inlineStr">
        <is>
          <t>Duluth</t>
        </is>
      </c>
      <c r="K61" t="inlineStr">
        <is>
          <t>Georgia</t>
        </is>
      </c>
      <c r="L61" t="inlineStr">
        <is>
          <t>http://www.agilityrecovery.com</t>
        </is>
      </c>
      <c r="M61" t="inlineStr">
        <is>
          <t>http://www.linkedin.com/company/agilityrecovery</t>
        </is>
      </c>
      <c r="N61" t="inlineStr">
        <is>
          <t>1989</t>
        </is>
      </c>
    </row>
    <row r="62">
      <c r="A62" t="inlineStr">
        <is>
          <t>Tier 1 - Strong Fit</t>
        </is>
      </c>
      <c r="B62" t="inlineStr">
        <is>
          <t>Sunbelt Marketing Inc.</t>
        </is>
      </c>
      <c r="C62" t="inlineStr">
        <is>
          <t>160</t>
        </is>
      </c>
      <c r="D62" t="inlineStr">
        <is>
          <t>25594000</t>
        </is>
      </c>
      <c r="E62" s="3" t="inlineStr">
        <is>
          <t>Tom Menefee</t>
        </is>
      </c>
      <c r="F62" t="inlineStr">
        <is>
          <t>Employee-Owned</t>
        </is>
      </c>
      <c r="G62" t="inlineStr">
        <is>
          <t>No</t>
        </is>
      </c>
      <c r="H62" t="inlineStr">
        <is>
          <t>Average</t>
        </is>
      </c>
      <c r="I62" t="inlineStr">
        <is>
          <t>building materials</t>
        </is>
      </c>
      <c r="J62" t="inlineStr">
        <is>
          <t>Austell</t>
        </is>
      </c>
      <c r="K62" t="inlineStr">
        <is>
          <t>Georgia</t>
        </is>
      </c>
      <c r="L62" t="inlineStr">
        <is>
          <t>http://www.sunbeltmarketing.com</t>
        </is>
      </c>
      <c r="M62" t="inlineStr">
        <is>
          <t>http://www.linkedin.com/company/sunbelt-marketing-inc.</t>
        </is>
      </c>
      <c r="N62" t="inlineStr">
        <is>
          <t>1976</t>
        </is>
      </c>
    </row>
    <row r="63">
      <c r="A63" t="inlineStr">
        <is>
          <t>Tier 1 - Strong Fit</t>
        </is>
      </c>
      <c r="B63" t="inlineStr">
        <is>
          <t>GCD Sales</t>
        </is>
      </c>
      <c r="C63" t="inlineStr">
        <is>
          <t>160</t>
        </is>
      </c>
      <c r="D63" t="inlineStr">
        <is>
          <t>11434000</t>
        </is>
      </c>
      <c r="E63" s="3" t="inlineStr">
        <is>
          <t>Jake Cockrell</t>
        </is>
      </c>
      <c r="F63" t="inlineStr">
        <is>
          <t>Family</t>
        </is>
      </c>
      <c r="G63" t="inlineStr">
        <is>
          <t>No</t>
        </is>
      </c>
      <c r="H63" t="inlineStr">
        <is>
          <t>Average</t>
        </is>
      </c>
      <c r="I63" t="inlineStr">
        <is>
          <t>electrical/electronic manufacturing</t>
        </is>
      </c>
      <c r="J63" t="inlineStr">
        <is>
          <t>Norcross</t>
        </is>
      </c>
      <c r="K63" t="inlineStr">
        <is>
          <t>Georgia</t>
        </is>
      </c>
      <c r="L63" t="inlineStr">
        <is>
          <t>http://www.gcdsales.com</t>
        </is>
      </c>
      <c r="M63" t="inlineStr">
        <is>
          <t>http://www.linkedin.com/company/gcdsales-ga-al-fl-tn</t>
        </is>
      </c>
    </row>
    <row r="64">
      <c r="A64" t="inlineStr">
        <is>
          <t>Tier 1 - Strong Fit</t>
        </is>
      </c>
      <c r="B64" t="inlineStr">
        <is>
          <t>Phillips Electrical / Mechanical</t>
        </is>
      </c>
      <c r="C64" t="inlineStr">
        <is>
          <t>150</t>
        </is>
      </c>
      <c r="D64" t="inlineStr">
        <is>
          <t>26928000</t>
        </is>
      </c>
      <c r="E64" s="2">
        <f>HYPERLINK("https://www.linkedin.com/in/danny-phillips-12ab2013","Danny Phillips")</f>
        <v/>
      </c>
      <c r="F64" t="inlineStr">
        <is>
          <t>Self</t>
        </is>
      </c>
      <c r="G64" t="inlineStr">
        <is>
          <t>No</t>
        </is>
      </c>
      <c r="H64" t="inlineStr">
        <is>
          <t>Average</t>
        </is>
      </c>
      <c r="I64" t="inlineStr">
        <is>
          <t>construction</t>
        </is>
      </c>
      <c r="J64" t="inlineStr">
        <is>
          <t>Buford</t>
        </is>
      </c>
      <c r="K64" t="inlineStr">
        <is>
          <t>Georgia</t>
        </is>
      </c>
      <c r="L64" t="inlineStr">
        <is>
          <t>http://www.phillipselectrical.com</t>
        </is>
      </c>
      <c r="M64" t="inlineStr">
        <is>
          <t>http://www.linkedin.com/company/phillips-electrical-technologies</t>
        </is>
      </c>
      <c r="N64" t="inlineStr">
        <is>
          <t>2003</t>
        </is>
      </c>
    </row>
    <row r="65">
      <c r="A65" t="inlineStr">
        <is>
          <t>Tier 1 - Strong Fit</t>
        </is>
      </c>
      <c r="B65" t="inlineStr">
        <is>
          <t>Harrison Contracting Company</t>
        </is>
      </c>
      <c r="C65" t="inlineStr">
        <is>
          <t>150</t>
        </is>
      </c>
      <c r="D65" t="inlineStr">
        <is>
          <t>31300000</t>
        </is>
      </c>
      <c r="E65" s="2">
        <f>HYPERLINK("https://www.linkedin.com/in/calvin-pate-2262b1a","Calvin Pate")</f>
        <v/>
      </c>
      <c r="F65" t="inlineStr">
        <is>
          <t>Self</t>
        </is>
      </c>
      <c r="G65" t="inlineStr">
        <is>
          <t>No</t>
        </is>
      </c>
      <c r="H65" t="inlineStr">
        <is>
          <t>Average</t>
        </is>
      </c>
      <c r="I65" t="inlineStr">
        <is>
          <t>facilities services</t>
        </is>
      </c>
      <c r="J65" t="inlineStr">
        <is>
          <t>Villa Rica</t>
        </is>
      </c>
      <c r="K65" t="inlineStr">
        <is>
          <t>Georgia</t>
        </is>
      </c>
      <c r="L65" t="inlineStr">
        <is>
          <t>http://www.harrisoncontracting.com</t>
        </is>
      </c>
      <c r="M65" t="inlineStr">
        <is>
          <t>http://www.linkedin.com/company/harrisoncontractingcompany</t>
        </is>
      </c>
      <c r="N65" t="inlineStr">
        <is>
          <t>1995</t>
        </is>
      </c>
    </row>
    <row r="66">
      <c r="A66" t="inlineStr">
        <is>
          <t>Tier 1 - Strong Fit</t>
        </is>
      </c>
      <c r="B66" t="inlineStr">
        <is>
          <t>Art Plumbing Contractors</t>
        </is>
      </c>
      <c r="C66" t="inlineStr">
        <is>
          <t>150</t>
        </is>
      </c>
      <c r="D66" t="inlineStr">
        <is>
          <t>40000000</t>
        </is>
      </c>
      <c r="E66" s="2">
        <f>HYPERLINK("https://www.linkedin.com/in/gregg-d-attile-63319b314","Gregg D'Attile")</f>
        <v/>
      </c>
      <c r="F66" t="inlineStr">
        <is>
          <t>Family</t>
        </is>
      </c>
      <c r="G66" t="inlineStr">
        <is>
          <t>No</t>
        </is>
      </c>
      <c r="H66" t="inlineStr">
        <is>
          <t>Average</t>
        </is>
      </c>
      <c r="I66" t="inlineStr">
        <is>
          <t>machinery</t>
        </is>
      </c>
      <c r="J66" t="inlineStr">
        <is>
          <t>Smyrna</t>
        </is>
      </c>
      <c r="K66" t="inlineStr">
        <is>
          <t>Georgia</t>
        </is>
      </c>
      <c r="L66" t="inlineStr">
        <is>
          <t>http://www.artplumbing.com</t>
        </is>
      </c>
      <c r="M66" t="inlineStr">
        <is>
          <t>http://www.linkedin.com/company/art-plumbing-contractors</t>
        </is>
      </c>
    </row>
    <row r="67">
      <c r="A67" t="inlineStr">
        <is>
          <t>Tier 1 - Strong Fit</t>
        </is>
      </c>
      <c r="B67" t="inlineStr">
        <is>
          <t>Basesix</t>
        </is>
      </c>
      <c r="C67" t="inlineStr">
        <is>
          <t>150</t>
        </is>
      </c>
      <c r="D67" t="inlineStr">
        <is>
          <t>40300000</t>
        </is>
      </c>
      <c r="E67" s="2">
        <f>HYPERLINK("https://www.linkedin.com/in/robb-borden-55415543","Robb Borden")</f>
        <v/>
      </c>
      <c r="F67" t="inlineStr">
        <is>
          <t>Small PE</t>
        </is>
      </c>
      <c r="G67" t="inlineStr">
        <is>
          <t>No</t>
        </is>
      </c>
      <c r="H67" t="inlineStr">
        <is>
          <t>Average</t>
        </is>
      </c>
      <c r="I67" t="inlineStr">
        <is>
          <t>telecommunications</t>
        </is>
      </c>
      <c r="J67" t="inlineStr">
        <is>
          <t>Marietta</t>
        </is>
      </c>
      <c r="K67" t="inlineStr">
        <is>
          <t>Georgia</t>
        </is>
      </c>
      <c r="L67" t="inlineStr">
        <is>
          <t>http://www.basesix.com</t>
        </is>
      </c>
      <c r="M67" t="inlineStr">
        <is>
          <t>http://www.linkedin.com/company/basesix</t>
        </is>
      </c>
      <c r="N67" t="inlineStr">
        <is>
          <t>2018</t>
        </is>
      </c>
    </row>
    <row r="68">
      <c r="A68" t="inlineStr">
        <is>
          <t>Tier 1 - Strong Fit</t>
        </is>
      </c>
      <c r="B68" t="inlineStr">
        <is>
          <t>Reliable Roofing</t>
        </is>
      </c>
      <c r="C68" t="inlineStr">
        <is>
          <t>150</t>
        </is>
      </c>
      <c r="D68" t="inlineStr">
        <is>
          <t>29686000</t>
        </is>
      </c>
      <c r="E68" s="3" t="inlineStr">
        <is>
          <t>Barry Sutlive</t>
        </is>
      </c>
      <c r="F68" t="inlineStr">
        <is>
          <t>Self</t>
        </is>
      </c>
      <c r="G68" t="inlineStr">
        <is>
          <t>No</t>
        </is>
      </c>
      <c r="H68" t="inlineStr">
        <is>
          <t>Average</t>
        </is>
      </c>
      <c r="I68" t="inlineStr">
        <is>
          <t>construction</t>
        </is>
      </c>
      <c r="J68" t="inlineStr">
        <is>
          <t>Peachtree Corners</t>
        </is>
      </c>
      <c r="K68" t="inlineStr">
        <is>
          <t>Georgia</t>
        </is>
      </c>
      <c r="L68" t="inlineStr">
        <is>
          <t>http://www.reliableroofing.com</t>
        </is>
      </c>
      <c r="M68" t="inlineStr">
        <is>
          <t>http://www.linkedin.com/company/reliable-roofing</t>
        </is>
      </c>
      <c r="N68" t="inlineStr">
        <is>
          <t>1987</t>
        </is>
      </c>
    </row>
    <row r="69">
      <c r="A69" t="inlineStr">
        <is>
          <t>Tier 1 - Strong Fit</t>
        </is>
      </c>
      <c r="B69" t="inlineStr">
        <is>
          <t>Hood Patterson &amp; Dewar</t>
        </is>
      </c>
      <c r="C69" t="inlineStr">
        <is>
          <t>140</t>
        </is>
      </c>
      <c r="D69" t="inlineStr">
        <is>
          <t>36800000</t>
        </is>
      </c>
      <c r="E69" s="3" t="inlineStr">
        <is>
          <t>Not found</t>
        </is>
      </c>
      <c r="F69" t="inlineStr">
        <is>
          <t>Employee-Owned</t>
        </is>
      </c>
      <c r="G69" t="inlineStr">
        <is>
          <t>No</t>
        </is>
      </c>
      <c r="H69" t="inlineStr">
        <is>
          <t>Good</t>
        </is>
      </c>
      <c r="I69" t="inlineStr">
        <is>
          <t>facilities services</t>
        </is>
      </c>
      <c r="J69" t="inlineStr">
        <is>
          <t>Norcross</t>
        </is>
      </c>
      <c r="K69" t="inlineStr">
        <is>
          <t>Georgia</t>
        </is>
      </c>
      <c r="L69" t="inlineStr">
        <is>
          <t>http://www.hoodpd.com</t>
        </is>
      </c>
      <c r="M69" t="inlineStr">
        <is>
          <t>http://www.linkedin.com/company/hood-patterson-&amp;-dewar</t>
        </is>
      </c>
      <c r="N69" t="inlineStr">
        <is>
          <t>1982</t>
        </is>
      </c>
    </row>
    <row r="70">
      <c r="A70" t="inlineStr">
        <is>
          <t>Tier 1 - Strong Fit</t>
        </is>
      </c>
      <c r="B70" t="inlineStr">
        <is>
          <t>Aptitude Health</t>
        </is>
      </c>
      <c r="C70" t="inlineStr">
        <is>
          <t>130</t>
        </is>
      </c>
      <c r="D70" t="inlineStr">
        <is>
          <t>29700000</t>
        </is>
      </c>
      <c r="E70" s="3" t="inlineStr">
        <is>
          <t>Jez Moulding</t>
        </is>
      </c>
      <c r="F70" t="inlineStr">
        <is>
          <t>Small PE</t>
        </is>
      </c>
      <c r="G70" t="inlineStr">
        <is>
          <t>No</t>
        </is>
      </c>
      <c r="H70" t="inlineStr">
        <is>
          <t>Good</t>
        </is>
      </c>
      <c r="I70" t="inlineStr">
        <is>
          <t>hospital &amp; health care</t>
        </is>
      </c>
      <c r="J70" t="inlineStr">
        <is>
          <t>Atlanta</t>
        </is>
      </c>
      <c r="K70" t="inlineStr">
        <is>
          <t>Georgia</t>
        </is>
      </c>
      <c r="L70" t="inlineStr">
        <is>
          <t>http://www.aptitudehealth.com</t>
        </is>
      </c>
      <c r="M70" t="inlineStr">
        <is>
          <t>http://www.linkedin.com/company/aptitudehealth</t>
        </is>
      </c>
      <c r="N70" t="inlineStr">
        <is>
          <t>2004</t>
        </is>
      </c>
    </row>
    <row r="71">
      <c r="A71" t="inlineStr">
        <is>
          <t>Tier 1 - Strong Fit</t>
        </is>
      </c>
      <c r="B71" t="inlineStr">
        <is>
          <t>Industrial Repair Service</t>
        </is>
      </c>
      <c r="C71" t="inlineStr">
        <is>
          <t>110</t>
        </is>
      </c>
      <c r="D71" t="inlineStr">
        <is>
          <t>18899000</t>
        </is>
      </c>
      <c r="E71" s="3" t="inlineStr">
        <is>
          <t>James Doyle</t>
        </is>
      </c>
      <c r="F71" t="inlineStr">
        <is>
          <t>Self</t>
        </is>
      </c>
      <c r="G71" t="inlineStr">
        <is>
          <t>No</t>
        </is>
      </c>
      <c r="H71" t="inlineStr">
        <is>
          <t>Average</t>
        </is>
      </c>
      <c r="I71" t="inlineStr">
        <is>
          <t>machinery</t>
        </is>
      </c>
      <c r="J71" t="inlineStr">
        <is>
          <t>Cumming</t>
        </is>
      </c>
      <c r="K71" t="inlineStr">
        <is>
          <t>Georgia</t>
        </is>
      </c>
      <c r="L71" t="inlineStr">
        <is>
          <t>http://www.industrialrepair.net</t>
        </is>
      </c>
      <c r="M71" t="inlineStr">
        <is>
          <t>http://www.linkedin.com/company/industrialrepairservice</t>
        </is>
      </c>
      <c r="N71" t="inlineStr">
        <is>
          <t>1991</t>
        </is>
      </c>
    </row>
    <row r="72">
      <c r="A72" t="inlineStr">
        <is>
          <t>Tier 1 - Strong Fit</t>
        </is>
      </c>
      <c r="B72" t="inlineStr">
        <is>
          <t>The Burks Companies Inc</t>
        </is>
      </c>
      <c r="C72" t="inlineStr">
        <is>
          <t>99</t>
        </is>
      </c>
      <c r="D72" t="inlineStr">
        <is>
          <t>25352000</t>
        </is>
      </c>
      <c r="E72" s="2">
        <f>HYPERLINK("https://www.linkedin.com/in/frederick-burks-87b126266","Frederick E. Burks")</f>
        <v/>
      </c>
      <c r="F72" t="inlineStr">
        <is>
          <t>Self</t>
        </is>
      </c>
      <c r="G72" t="inlineStr">
        <is>
          <t>No</t>
        </is>
      </c>
      <c r="H72" t="inlineStr">
        <is>
          <t>Average</t>
        </is>
      </c>
      <c r="I72" t="inlineStr">
        <is>
          <t>facilities services</t>
        </is>
      </c>
      <c r="J72" t="inlineStr">
        <is>
          <t>Atlanta</t>
        </is>
      </c>
      <c r="K72" t="inlineStr">
        <is>
          <t>Georgia</t>
        </is>
      </c>
      <c r="L72" t="inlineStr">
        <is>
          <t>http://www.theburkscompanies.com</t>
        </is>
      </c>
      <c r="M72" t="inlineStr">
        <is>
          <t>http://www.linkedin.com/company/burks-companies-inc</t>
        </is>
      </c>
      <c r="N72" t="inlineStr">
        <is>
          <t>1991</t>
        </is>
      </c>
    </row>
    <row r="73">
      <c r="A73" t="inlineStr">
        <is>
          <t>Tier 1 - Strong Fit</t>
        </is>
      </c>
      <c r="B73" t="inlineStr">
        <is>
          <t>Atlanta West Carpets, LLC</t>
        </is>
      </c>
      <c r="C73" t="inlineStr">
        <is>
          <t>98</t>
        </is>
      </c>
      <c r="D73" t="inlineStr">
        <is>
          <t>47438000</t>
        </is>
      </c>
      <c r="E73" s="2">
        <f>HYPERLINK("https://www.linkedin.com/in/sayward-masselter-073187b","Sayward Masselter")</f>
        <v/>
      </c>
      <c r="F73" t="inlineStr">
        <is>
          <t>Self</t>
        </is>
      </c>
      <c r="G73" t="inlineStr">
        <is>
          <t>No</t>
        </is>
      </c>
      <c r="H73" t="inlineStr">
        <is>
          <t>Average</t>
        </is>
      </c>
      <c r="I73" t="inlineStr">
        <is>
          <t>construction</t>
        </is>
      </c>
      <c r="J73" t="inlineStr">
        <is>
          <t>Lithia Springs</t>
        </is>
      </c>
      <c r="K73" t="inlineStr">
        <is>
          <t>Georgia</t>
        </is>
      </c>
      <c r="L73" t="inlineStr">
        <is>
          <t>http://www.atlwest.com</t>
        </is>
      </c>
      <c r="M73" t="inlineStr">
        <is>
          <t>http://www.linkedin.com/company/atlanta-west-inc.</t>
        </is>
      </c>
      <c r="N73" t="inlineStr">
        <is>
          <t>1973</t>
        </is>
      </c>
    </row>
    <row r="74">
      <c r="A74" t="inlineStr">
        <is>
          <t>Tier 1 - Strong Fit</t>
        </is>
      </c>
      <c r="B74" t="inlineStr">
        <is>
          <t>AMCON Industrial</t>
        </is>
      </c>
      <c r="C74" t="inlineStr">
        <is>
          <t>92</t>
        </is>
      </c>
      <c r="D74" t="inlineStr">
        <is>
          <t>14287000</t>
        </is>
      </c>
      <c r="E74" s="2">
        <f>HYPERLINK("https://www.linkedin.com/in/aaron-phillips-2876b561","Aaron Phillips")</f>
        <v/>
      </c>
      <c r="F74" t="inlineStr">
        <is>
          <t>Self</t>
        </is>
      </c>
      <c r="G74" t="inlineStr">
        <is>
          <t>No</t>
        </is>
      </c>
      <c r="H74" t="inlineStr">
        <is>
          <t>Average</t>
        </is>
      </c>
      <c r="I74" t="inlineStr">
        <is>
          <t>construction</t>
        </is>
      </c>
      <c r="J74" t="inlineStr">
        <is>
          <t>Fairburn</t>
        </is>
      </c>
      <c r="K74" t="inlineStr">
        <is>
          <t>Georgia</t>
        </is>
      </c>
      <c r="L74" t="inlineStr">
        <is>
          <t>http://www.amconindustrial.com</t>
        </is>
      </c>
      <c r="M74" t="inlineStr">
        <is>
          <t>http://www.linkedin.com/company/amcon-industrial</t>
        </is>
      </c>
      <c r="N74" t="inlineStr">
        <is>
          <t>2003</t>
        </is>
      </c>
    </row>
    <row r="75">
      <c r="A75" t="inlineStr">
        <is>
          <t>Tier 1 - Strong Fit</t>
        </is>
      </c>
      <c r="B75" t="inlineStr">
        <is>
          <t>iParametrics, LLC</t>
        </is>
      </c>
      <c r="C75" t="inlineStr">
        <is>
          <t>91</t>
        </is>
      </c>
      <c r="D75" t="inlineStr">
        <is>
          <t>16817000</t>
        </is>
      </c>
      <c r="E75" s="3" t="inlineStr">
        <is>
          <t>Andrew Klein</t>
        </is>
      </c>
      <c r="F75" t="inlineStr">
        <is>
          <t>Self</t>
        </is>
      </c>
      <c r="G75" t="inlineStr">
        <is>
          <t>No</t>
        </is>
      </c>
      <c r="H75" t="inlineStr">
        <is>
          <t>Average</t>
        </is>
      </c>
      <c r="I75" t="inlineStr">
        <is>
          <t>management consulting</t>
        </is>
      </c>
      <c r="J75" t="inlineStr">
        <is>
          <t>Alpharetta</t>
        </is>
      </c>
      <c r="K75" t="inlineStr">
        <is>
          <t>Georgia</t>
        </is>
      </c>
      <c r="L75" t="inlineStr">
        <is>
          <t>http://www.iparametrics.com</t>
        </is>
      </c>
      <c r="M75" t="inlineStr">
        <is>
          <t>http://www.linkedin.com/company/iparametrics</t>
        </is>
      </c>
      <c r="N75" t="inlineStr">
        <is>
          <t>2003</t>
        </is>
      </c>
    </row>
    <row r="76">
      <c r="A76" t="inlineStr">
        <is>
          <t>Tier 1 - Strong Fit</t>
        </is>
      </c>
      <c r="B76" t="inlineStr">
        <is>
          <t>Generis</t>
        </is>
      </c>
      <c r="C76" t="inlineStr">
        <is>
          <t>87</t>
        </is>
      </c>
      <c r="D76" t="inlineStr">
        <is>
          <t>12734000</t>
        </is>
      </c>
      <c r="E76" s="3" t="inlineStr">
        <is>
          <t>Not found</t>
        </is>
      </c>
      <c r="F76" t="inlineStr">
        <is>
          <t>Nonprofit</t>
        </is>
      </c>
      <c r="G76" t="inlineStr">
        <is>
          <t>No</t>
        </is>
      </c>
      <c r="H76" t="inlineStr">
        <is>
          <t>Average</t>
        </is>
      </c>
      <c r="I76" t="inlineStr">
        <is>
          <t>fund-raising</t>
        </is>
      </c>
      <c r="J76" t="inlineStr">
        <is>
          <t>Johns Creek</t>
        </is>
      </c>
      <c r="K76" t="inlineStr">
        <is>
          <t>Georgia</t>
        </is>
      </c>
      <c r="L76" t="inlineStr">
        <is>
          <t>http://www.generis.com</t>
        </is>
      </c>
      <c r="M76" t="inlineStr">
        <is>
          <t>http://www.linkedin.com/company/generis</t>
        </is>
      </c>
      <c r="N76" t="inlineStr">
        <is>
          <t>1989</t>
        </is>
      </c>
    </row>
    <row r="77">
      <c r="A77" t="inlineStr">
        <is>
          <t>Tier 1 - Strong Fit</t>
        </is>
      </c>
      <c r="B77" t="inlineStr">
        <is>
          <t>BrightClaim</t>
        </is>
      </c>
      <c r="C77" t="inlineStr">
        <is>
          <t>86</t>
        </is>
      </c>
      <c r="D77" t="inlineStr">
        <is>
          <t>35000000</t>
        </is>
      </c>
      <c r="E77" s="3" t="inlineStr">
        <is>
          <t>Not found</t>
        </is>
      </c>
      <c r="F77" t="inlineStr">
        <is>
          <t>Big PE</t>
        </is>
      </c>
      <c r="G77" t="inlineStr">
        <is>
          <t>No</t>
        </is>
      </c>
      <c r="H77" t="inlineStr">
        <is>
          <t>Good</t>
        </is>
      </c>
      <c r="I77" t="inlineStr">
        <is>
          <t>insurance</t>
        </is>
      </c>
      <c r="J77" t="inlineStr">
        <is>
          <t>Atlanta</t>
        </is>
      </c>
      <c r="K77" t="inlineStr">
        <is>
          <t>Georgia</t>
        </is>
      </c>
      <c r="L77" t="inlineStr">
        <is>
          <t>http://www.brightclaimsadjusting.com</t>
        </is>
      </c>
      <c r="M77" t="inlineStr">
        <is>
          <t>http://www.linkedin.com/company/brightclaim</t>
        </is>
      </c>
      <c r="N77" t="inlineStr">
        <is>
          <t>2004</t>
        </is>
      </c>
    </row>
    <row r="78">
      <c r="A78" t="inlineStr">
        <is>
          <t>Tier 1 - Strong Fit</t>
        </is>
      </c>
      <c r="B78" t="inlineStr">
        <is>
          <t>EMC Security</t>
        </is>
      </c>
      <c r="C78" t="inlineStr">
        <is>
          <t>86</t>
        </is>
      </c>
      <c r="D78" t="inlineStr">
        <is>
          <t>26463000</t>
        </is>
      </c>
      <c r="E78" s="2">
        <f>HYPERLINK("https://www.linkedin.com/in/vinceraia","Vince Raia")</f>
        <v/>
      </c>
      <c r="F78" t="inlineStr">
        <is>
          <t>Employee-Owned</t>
        </is>
      </c>
      <c r="G78" t="inlineStr">
        <is>
          <t>No</t>
        </is>
      </c>
      <c r="H78" t="inlineStr">
        <is>
          <t>Good</t>
        </is>
      </c>
      <c r="I78" t="inlineStr">
        <is>
          <t>security &amp; investigations</t>
        </is>
      </c>
      <c r="J78" t="inlineStr">
        <is>
          <t>Suwanee</t>
        </is>
      </c>
      <c r="K78" t="inlineStr">
        <is>
          <t>Georgia</t>
        </is>
      </c>
      <c r="L78" t="inlineStr">
        <is>
          <t>http://www.emcsecurity.com</t>
        </is>
      </c>
      <c r="M78" t="inlineStr">
        <is>
          <t>http://www.linkedin.com/company/emcsecurity</t>
        </is>
      </c>
      <c r="N78" t="inlineStr">
        <is>
          <t>1998</t>
        </is>
      </c>
    </row>
    <row r="79">
      <c r="A79" t="inlineStr">
        <is>
          <t>Tier 1 - Strong Fit</t>
        </is>
      </c>
      <c r="B79" t="inlineStr">
        <is>
          <t>Brooks Berry Haynie &amp; Associates, Inc.</t>
        </is>
      </c>
      <c r="C79" t="inlineStr">
        <is>
          <t>85</t>
        </is>
      </c>
      <c r="D79" t="inlineStr">
        <is>
          <t>14063000</t>
        </is>
      </c>
      <c r="E79" s="3" t="inlineStr">
        <is>
          <t>Not found</t>
        </is>
      </c>
      <c r="F79" t="inlineStr">
        <is>
          <t>Employee-Owned</t>
        </is>
      </c>
      <c r="G79" t="inlineStr">
        <is>
          <t>Tim Brennan</t>
        </is>
      </c>
      <c r="H79" t="inlineStr">
        <is>
          <t>Average</t>
        </is>
      </c>
      <c r="I79" t="inlineStr">
        <is>
          <t>construction</t>
        </is>
      </c>
      <c r="J79" t="inlineStr">
        <is>
          <t>Mableton</t>
        </is>
      </c>
      <c r="K79" t="inlineStr">
        <is>
          <t>Georgia</t>
        </is>
      </c>
      <c r="L79" t="inlineStr">
        <is>
          <t>http://www.bbhelectric.com</t>
        </is>
      </c>
      <c r="M79" t="inlineStr">
        <is>
          <t>http://www.linkedin.com/company/brooks-berry-haynie-&amp;-associates-inc-</t>
        </is>
      </c>
      <c r="N79" t="inlineStr">
        <is>
          <t>1953</t>
        </is>
      </c>
    </row>
    <row r="80">
      <c r="A80" t="inlineStr">
        <is>
          <t>Tier 1 - Strong Fit</t>
        </is>
      </c>
      <c r="B80" t="inlineStr">
        <is>
          <t>Pegasus Support Services, LLC</t>
        </is>
      </c>
      <c r="C80" t="inlineStr">
        <is>
          <t>83</t>
        </is>
      </c>
      <c r="D80" t="inlineStr">
        <is>
          <t>11197000</t>
        </is>
      </c>
      <c r="E80" s="3" t="inlineStr">
        <is>
          <t>Not found</t>
        </is>
      </c>
      <c r="F80" t="inlineStr">
        <is>
          <t>Self</t>
        </is>
      </c>
      <c r="G80" t="inlineStr">
        <is>
          <t>No</t>
        </is>
      </c>
      <c r="H80" t="inlineStr">
        <is>
          <t>Average</t>
        </is>
      </c>
      <c r="I80" t="inlineStr">
        <is>
          <t>facilities services</t>
        </is>
      </c>
      <c r="J80" t="inlineStr">
        <is>
          <t>Woodstock</t>
        </is>
      </c>
      <c r="K80" t="inlineStr">
        <is>
          <t>Georgia</t>
        </is>
      </c>
      <c r="L80" t="inlineStr">
        <is>
          <t>http://www.pegasussupport.com</t>
        </is>
      </c>
      <c r="M80" t="inlineStr">
        <is>
          <t>http://www.linkedin.com/company/pegasussupportservices</t>
        </is>
      </c>
      <c r="N80" t="inlineStr">
        <is>
          <t>2011</t>
        </is>
      </c>
    </row>
    <row r="81">
      <c r="A81" t="inlineStr">
        <is>
          <t>Tier 1 - Strong Fit</t>
        </is>
      </c>
      <c r="B81" t="inlineStr">
        <is>
          <t>Mayberry Electric Inc.</t>
        </is>
      </c>
      <c r="C81" t="inlineStr">
        <is>
          <t>83</t>
        </is>
      </c>
      <c r="D81" t="inlineStr">
        <is>
          <t>14546000</t>
        </is>
      </c>
      <c r="E81" s="2">
        <f>HYPERLINK("https://www.linkedin.com/in/paulfmayberry","Paul Mayberry")</f>
        <v/>
      </c>
      <c r="F81" t="inlineStr">
        <is>
          <t>Self</t>
        </is>
      </c>
      <c r="G81" t="inlineStr">
        <is>
          <t>No</t>
        </is>
      </c>
      <c r="H81" t="inlineStr">
        <is>
          <t>Average</t>
        </is>
      </c>
      <c r="I81" t="inlineStr">
        <is>
          <t>construction</t>
        </is>
      </c>
      <c r="J81" t="inlineStr">
        <is>
          <t>Atlanta</t>
        </is>
      </c>
      <c r="K81" t="inlineStr">
        <is>
          <t>Georgia</t>
        </is>
      </c>
      <c r="L81" t="inlineStr">
        <is>
          <t>http://www.mayberryelectric.com</t>
        </is>
      </c>
      <c r="M81" t="inlineStr">
        <is>
          <t>http://www.linkedin.com/company/mayberry-electric-inc.</t>
        </is>
      </c>
      <c r="N81" t="inlineStr">
        <is>
          <t>1990</t>
        </is>
      </c>
    </row>
    <row r="82">
      <c r="A82" t="inlineStr">
        <is>
          <t>Tier 1 - Strong Fit</t>
        </is>
      </c>
      <c r="B82" t="inlineStr">
        <is>
          <t>AA LAQUIS</t>
        </is>
      </c>
      <c r="C82" t="inlineStr">
        <is>
          <t>80</t>
        </is>
      </c>
      <c r="D82" t="inlineStr">
        <is>
          <t>19020000</t>
        </is>
      </c>
      <c r="E82" s="3" t="inlineStr">
        <is>
          <t>Not found</t>
        </is>
      </c>
      <c r="F82" t="inlineStr">
        <is>
          <t>Family</t>
        </is>
      </c>
      <c r="G82" t="inlineStr">
        <is>
          <t>No</t>
        </is>
      </c>
      <c r="H82" t="inlineStr">
        <is>
          <t>Average</t>
        </is>
      </c>
      <c r="I82" t="inlineStr">
        <is>
          <t>hospital &amp; health care</t>
        </is>
      </c>
      <c r="J82" t="inlineStr">
        <is>
          <t>Union City</t>
        </is>
      </c>
      <c r="K82" t="inlineStr">
        <is>
          <t>Georgia</t>
        </is>
      </c>
      <c r="L82" t="inlineStr">
        <is>
          <t>http://www.aalaquis.com</t>
        </is>
      </c>
      <c r="M82" t="inlineStr">
        <is>
          <t>http://www.linkedin.com/company/aa-laquis</t>
        </is>
      </c>
      <c r="N82" t="inlineStr">
        <is>
          <t>1948</t>
        </is>
      </c>
    </row>
    <row r="83">
      <c r="A83" t="inlineStr">
        <is>
          <t>Tier 1 - Strong Fit</t>
        </is>
      </c>
      <c r="B83" t="inlineStr">
        <is>
          <t>Addison Smith Mechanical Contractor, Inc.</t>
        </is>
      </c>
      <c r="C83" t="inlineStr">
        <is>
          <t>78</t>
        </is>
      </c>
      <c r="D83" t="inlineStr">
        <is>
          <t>43447000</t>
        </is>
      </c>
      <c r="E83" s="2">
        <f>HYPERLINK("https://www.linkedin.com/in/timothy-brewer-8194b248","Timothy Brewer")</f>
        <v/>
      </c>
      <c r="F83" t="inlineStr">
        <is>
          <t>Self</t>
        </is>
      </c>
      <c r="G83" t="inlineStr">
        <is>
          <t>No</t>
        </is>
      </c>
      <c r="H83" t="inlineStr">
        <is>
          <t>Average</t>
        </is>
      </c>
      <c r="I83" t="inlineStr">
        <is>
          <t>machinery</t>
        </is>
      </c>
      <c r="J83" t="inlineStr">
        <is>
          <t>Carrollton</t>
        </is>
      </c>
      <c r="K83" t="inlineStr">
        <is>
          <t>Georgia</t>
        </is>
      </c>
      <c r="L83" t="inlineStr">
        <is>
          <t>http://www.addisonsmith.net</t>
        </is>
      </c>
      <c r="M83" t="inlineStr">
        <is>
          <t>http://www.linkedin.com/company/addison-smith-mechanical-contractor-inc-</t>
        </is>
      </c>
      <c r="N83" t="inlineStr">
        <is>
          <t>1954</t>
        </is>
      </c>
    </row>
    <row r="84">
      <c r="A84" t="inlineStr">
        <is>
          <t>Tier 1 - Strong Fit</t>
        </is>
      </c>
      <c r="B84" t="inlineStr">
        <is>
          <t>Estes Services Heating, Air, Plumbing &amp; Electrical</t>
        </is>
      </c>
      <c r="C84" t="inlineStr">
        <is>
          <t>76</t>
        </is>
      </c>
      <c r="D84" t="inlineStr">
        <is>
          <t>11240000</t>
        </is>
      </c>
      <c r="E84" s="2">
        <f>HYPERLINK("https://www.linkedin.com/in/tommy-estes-b72a2910","Brian Estes")</f>
        <v/>
      </c>
      <c r="F84" t="inlineStr">
        <is>
          <t>Family</t>
        </is>
      </c>
      <c r="G84" t="inlineStr">
        <is>
          <t>No</t>
        </is>
      </c>
      <c r="H84" t="inlineStr">
        <is>
          <t>Good</t>
        </is>
      </c>
      <c r="I84" t="inlineStr">
        <is>
          <t>construction</t>
        </is>
      </c>
      <c r="J84" t="inlineStr">
        <is>
          <t>Atlanta</t>
        </is>
      </c>
      <c r="K84" t="inlineStr">
        <is>
          <t>Georgia</t>
        </is>
      </c>
      <c r="L84" t="inlineStr">
        <is>
          <t>http://www.estesair.com</t>
        </is>
      </c>
      <c r="M84" t="inlineStr">
        <is>
          <t>http://www.linkedin.com/company/estes-services</t>
        </is>
      </c>
      <c r="N84" t="inlineStr">
        <is>
          <t>1947</t>
        </is>
      </c>
    </row>
    <row r="85">
      <c r="A85" t="inlineStr">
        <is>
          <t>Tier 1 - Strong Fit</t>
        </is>
      </c>
      <c r="B85" t="inlineStr">
        <is>
          <t>Tebarco Mechanical, LLC</t>
        </is>
      </c>
      <c r="C85" t="inlineStr">
        <is>
          <t>72</t>
        </is>
      </c>
      <c r="D85" t="inlineStr">
        <is>
          <t>28301000</t>
        </is>
      </c>
      <c r="E85" s="2">
        <f>HYPERLINK("https://www.linkedin.com/in/terrell-barden-b357265","Terrell Barden")</f>
        <v/>
      </c>
      <c r="F85" t="inlineStr">
        <is>
          <t>Small PE</t>
        </is>
      </c>
      <c r="G85" t="inlineStr">
        <is>
          <t>No</t>
        </is>
      </c>
      <c r="H85" t="inlineStr">
        <is>
          <t>Average</t>
        </is>
      </c>
      <c r="I85" t="inlineStr">
        <is>
          <t>construction</t>
        </is>
      </c>
      <c r="J85" t="inlineStr">
        <is>
          <t>Alpharetta</t>
        </is>
      </c>
      <c r="K85" t="inlineStr">
        <is>
          <t>Georgia</t>
        </is>
      </c>
      <c r="L85" t="inlineStr">
        <is>
          <t>http://www.tebarco.com</t>
        </is>
      </c>
      <c r="M85" t="inlineStr">
        <is>
          <t>http://www.linkedin.com/company/tebarco-mechanical</t>
        </is>
      </c>
      <c r="N85" t="inlineStr">
        <is>
          <t>1983</t>
        </is>
      </c>
    </row>
    <row r="86">
      <c r="A86" t="inlineStr">
        <is>
          <t>Tier 1 - Strong Fit</t>
        </is>
      </c>
      <c r="B86" t="inlineStr">
        <is>
          <t>United Maintenance Inc.</t>
        </is>
      </c>
      <c r="C86" t="inlineStr">
        <is>
          <t>71</t>
        </is>
      </c>
      <c r="D86" t="inlineStr">
        <is>
          <t>49631000</t>
        </is>
      </c>
      <c r="E86" s="2">
        <f>HYPERLINK("https://www.linkedin.com/in/nancy-harter-2121615a","Nancy Harter")</f>
        <v/>
      </c>
      <c r="F86" t="inlineStr">
        <is>
          <t>Self</t>
        </is>
      </c>
      <c r="G86" t="inlineStr">
        <is>
          <t>No</t>
        </is>
      </c>
      <c r="H86" t="inlineStr">
        <is>
          <t>Average</t>
        </is>
      </c>
      <c r="I86" t="inlineStr">
        <is>
          <t>machinery</t>
        </is>
      </c>
      <c r="J86" t="inlineStr">
        <is>
          <t>Atlanta</t>
        </is>
      </c>
      <c r="K86" t="inlineStr">
        <is>
          <t>Georgia</t>
        </is>
      </c>
      <c r="L86" t="inlineStr">
        <is>
          <t>http://www.unitedmaintenance.com</t>
        </is>
      </c>
      <c r="M86" t="inlineStr">
        <is>
          <t>http://www.linkedin.com/company/united-maintenance-inc-</t>
        </is>
      </c>
      <c r="N86" t="inlineStr">
        <is>
          <t>1974</t>
        </is>
      </c>
    </row>
    <row r="87">
      <c r="A87" t="inlineStr">
        <is>
          <t>Tier 1 - Strong Fit</t>
        </is>
      </c>
      <c r="B87" t="inlineStr">
        <is>
          <t>Bardi Heating, Cooling, Plumbing, Electrical</t>
        </is>
      </c>
      <c r="C87" t="inlineStr">
        <is>
          <t>68</t>
        </is>
      </c>
      <c r="D87" t="inlineStr">
        <is>
          <t>20744000</t>
        </is>
      </c>
      <c r="E87" s="2">
        <f>HYPERLINK("https://www.linkedin.com/in/adam-bardi","Adam Bardi")</f>
        <v/>
      </c>
      <c r="F87" t="inlineStr">
        <is>
          <t>Family</t>
        </is>
      </c>
      <c r="G87" t="inlineStr">
        <is>
          <t>No</t>
        </is>
      </c>
      <c r="H87" t="inlineStr">
        <is>
          <t>Average</t>
        </is>
      </c>
      <c r="I87" t="inlineStr">
        <is>
          <t>construction</t>
        </is>
      </c>
      <c r="J87" t="inlineStr">
        <is>
          <t>Norcross</t>
        </is>
      </c>
      <c r="K87" t="inlineStr">
        <is>
          <t>Georgia</t>
        </is>
      </c>
      <c r="L87" t="inlineStr">
        <is>
          <t>http://www.bardi.com</t>
        </is>
      </c>
      <c r="M87" t="inlineStr">
        <is>
          <t>http://www.linkedin.com/company/bardi-heating-cooling-plumbing-electrical</t>
        </is>
      </c>
      <c r="N87" t="inlineStr">
        <is>
          <t>1989</t>
        </is>
      </c>
    </row>
    <row r="88">
      <c r="A88" t="inlineStr">
        <is>
          <t>Tier 1 - Strong Fit</t>
        </is>
      </c>
      <c r="B88" t="inlineStr">
        <is>
          <t>Busker Communications</t>
        </is>
      </c>
      <c r="C88" t="inlineStr">
        <is>
          <t>65</t>
        </is>
      </c>
      <c r="D88" t="inlineStr">
        <is>
          <t>16903000</t>
        </is>
      </c>
      <c r="E88" s="2">
        <f>HYPERLINK("https://www.linkedin.com/in/bobby-busker-32432b7","Bobby Busker")</f>
        <v/>
      </c>
      <c r="F88" t="inlineStr">
        <is>
          <t>Self</t>
        </is>
      </c>
      <c r="G88" t="inlineStr">
        <is>
          <t>No</t>
        </is>
      </c>
      <c r="H88" t="inlineStr">
        <is>
          <t>Average</t>
        </is>
      </c>
      <c r="I88" t="inlineStr">
        <is>
          <t>telecommunications</t>
        </is>
      </c>
      <c r="J88" t="inlineStr">
        <is>
          <t>Gainesville</t>
        </is>
      </c>
      <c r="K88" t="inlineStr">
        <is>
          <t>Georgia</t>
        </is>
      </c>
      <c r="L88" t="inlineStr">
        <is>
          <t>http://www.buskercom.com</t>
        </is>
      </c>
      <c r="M88" t="inlineStr">
        <is>
          <t>http://www.linkedin.com/company/busker-communications</t>
        </is>
      </c>
      <c r="N88" t="inlineStr">
        <is>
          <t>1999</t>
        </is>
      </c>
    </row>
    <row r="89">
      <c r="A89" t="inlineStr">
        <is>
          <t>Tier 1 - Strong Fit</t>
        </is>
      </c>
      <c r="B89" t="inlineStr">
        <is>
          <t>B &amp; W MECHANICAL CONTRACTORS, INC.</t>
        </is>
      </c>
      <c r="C89" t="inlineStr">
        <is>
          <t>64</t>
        </is>
      </c>
      <c r="D89" t="inlineStr">
        <is>
          <t>18854000</t>
        </is>
      </c>
      <c r="E89" s="3" t="inlineStr">
        <is>
          <t>Not found</t>
        </is>
      </c>
      <c r="F89" t="inlineStr">
        <is>
          <t>Self</t>
        </is>
      </c>
      <c r="G89" t="inlineStr">
        <is>
          <t>No</t>
        </is>
      </c>
      <c r="H89" t="inlineStr">
        <is>
          <t>Average</t>
        </is>
      </c>
      <c r="I89" t="inlineStr">
        <is>
          <t>facilities services</t>
        </is>
      </c>
      <c r="J89" t="inlineStr">
        <is>
          <t>Lawrenceville</t>
        </is>
      </c>
      <c r="K89" t="inlineStr">
        <is>
          <t>Georgia</t>
        </is>
      </c>
      <c r="L89" t="inlineStr">
        <is>
          <t>http://www.bwmech.com</t>
        </is>
      </c>
      <c r="M89" t="inlineStr">
        <is>
          <t>http://www.linkedin.com/company/b-&amp;-w-mechanical-contractors-inc.</t>
        </is>
      </c>
      <c r="N89" t="inlineStr">
        <is>
          <t>1968</t>
        </is>
      </c>
    </row>
    <row r="90">
      <c r="A90" t="inlineStr">
        <is>
          <t>Tier 1 - Strong Fit</t>
        </is>
      </c>
      <c r="B90" t="inlineStr">
        <is>
          <t>MarketSphere Unclaimed Property Specialists</t>
        </is>
      </c>
      <c r="C90" t="inlineStr">
        <is>
          <t>60</t>
        </is>
      </c>
      <c r="D90" t="inlineStr">
        <is>
          <t>13793000</t>
        </is>
      </c>
      <c r="E90" s="3" t="inlineStr">
        <is>
          <t>Don Decelles</t>
        </is>
      </c>
      <c r="F90" t="inlineStr">
        <is>
          <t>Self</t>
        </is>
      </c>
      <c r="G90" t="inlineStr">
        <is>
          <t>No</t>
        </is>
      </c>
      <c r="H90" t="inlineStr">
        <is>
          <t>Average</t>
        </is>
      </c>
      <c r="I90" t="inlineStr">
        <is>
          <t>management consulting</t>
        </is>
      </c>
      <c r="J90" t="inlineStr">
        <is>
          <t>Atlanta</t>
        </is>
      </c>
      <c r="K90" t="inlineStr">
        <is>
          <t>Georgia</t>
        </is>
      </c>
      <c r="L90" t="inlineStr">
        <is>
          <t>http://www.unclaimedpropertyspecialists.com</t>
        </is>
      </c>
      <c r="M90" t="inlineStr">
        <is>
          <t>http://www.linkedin.com/company/unclaimedpropertyspecialists</t>
        </is>
      </c>
      <c r="N90" t="inlineStr">
        <is>
          <t>2002</t>
        </is>
      </c>
    </row>
    <row r="91">
      <c r="A91" t="inlineStr">
        <is>
          <t>Tier 1 - Strong Fit</t>
        </is>
      </c>
      <c r="B91" t="inlineStr">
        <is>
          <t>Chartwell, Inc.</t>
        </is>
      </c>
      <c r="C91" t="inlineStr">
        <is>
          <t>58</t>
        </is>
      </c>
      <c r="D91" t="inlineStr">
        <is>
          <t>37962000</t>
        </is>
      </c>
      <c r="E91" s="3" t="inlineStr">
        <is>
          <t>Not found</t>
        </is>
      </c>
      <c r="F91" t="inlineStr">
        <is>
          <t>Self</t>
        </is>
      </c>
      <c r="G91" t="inlineStr">
        <is>
          <t>No</t>
        </is>
      </c>
      <c r="H91" t="inlineStr">
        <is>
          <t>Good</t>
        </is>
      </c>
      <c r="I91" t="inlineStr">
        <is>
          <t>information services</t>
        </is>
      </c>
      <c r="J91" t="inlineStr">
        <is>
          <t>Atlanta</t>
        </is>
      </c>
      <c r="K91" t="inlineStr">
        <is>
          <t>Georgia</t>
        </is>
      </c>
      <c r="L91" t="inlineStr">
        <is>
          <t>http://www.chartwellinc.com</t>
        </is>
      </c>
      <c r="M91" t="inlineStr">
        <is>
          <t>http://www.linkedin.com/company/chartwell-inc.</t>
        </is>
      </c>
      <c r="N91" t="inlineStr">
        <is>
          <t>1993</t>
        </is>
      </c>
    </row>
    <row r="92">
      <c r="A92" t="inlineStr">
        <is>
          <t>Tier 1 - Strong Fit</t>
        </is>
      </c>
      <c r="B92" t="inlineStr">
        <is>
          <t>Action Electric Co., Inc.</t>
        </is>
      </c>
      <c r="C92" t="inlineStr">
        <is>
          <t>58</t>
        </is>
      </c>
      <c r="D92" t="inlineStr">
        <is>
          <t>13871000</t>
        </is>
      </c>
      <c r="E92" s="3" t="inlineStr">
        <is>
          <t>Not found</t>
        </is>
      </c>
      <c r="F92" t="inlineStr">
        <is>
          <t>Self</t>
        </is>
      </c>
      <c r="G92" t="inlineStr">
        <is>
          <t>No</t>
        </is>
      </c>
      <c r="H92" t="inlineStr">
        <is>
          <t>Average</t>
        </is>
      </c>
      <c r="I92" t="inlineStr">
        <is>
          <t>construction</t>
        </is>
      </c>
      <c r="J92" t="inlineStr">
        <is>
          <t>Atlanta</t>
        </is>
      </c>
      <c r="K92" t="inlineStr">
        <is>
          <t>Georgia</t>
        </is>
      </c>
      <c r="L92" t="inlineStr">
        <is>
          <t>http://www.actioncontractors.com</t>
        </is>
      </c>
      <c r="M92" t="inlineStr">
        <is>
          <t>http://www.linkedin.com/company/action-electric-co.-inc.</t>
        </is>
      </c>
      <c r="N92" t="inlineStr">
        <is>
          <t>1945</t>
        </is>
      </c>
    </row>
    <row r="93">
      <c r="A93" t="inlineStr">
        <is>
          <t>Tier 1 - Strong Fit</t>
        </is>
      </c>
      <c r="B93" t="inlineStr">
        <is>
          <t>Penco Electrical Contractors, Inc</t>
        </is>
      </c>
      <c r="C93" t="inlineStr">
        <is>
          <t>56</t>
        </is>
      </c>
      <c r="D93" t="inlineStr">
        <is>
          <t>30162000</t>
        </is>
      </c>
      <c r="E93" s="2">
        <f>HYPERLINK("https://www.linkedin.com/in/kristenatpenco","Kristen Williams")</f>
        <v/>
      </c>
      <c r="F93" t="inlineStr">
        <is>
          <t>Family</t>
        </is>
      </c>
      <c r="G93" t="inlineStr">
        <is>
          <t>No</t>
        </is>
      </c>
      <c r="H93" t="inlineStr">
        <is>
          <t>Average</t>
        </is>
      </c>
      <c r="I93" t="inlineStr">
        <is>
          <t>construction</t>
        </is>
      </c>
      <c r="J93" t="inlineStr">
        <is>
          <t>Morrow</t>
        </is>
      </c>
      <c r="K93" t="inlineStr">
        <is>
          <t>Georgia</t>
        </is>
      </c>
      <c r="L93" t="inlineStr">
        <is>
          <t>http://www.pencoelectric.com</t>
        </is>
      </c>
      <c r="M93" t="inlineStr">
        <is>
          <t>http://www.linkedin.com/company/penco-electrical-contractors</t>
        </is>
      </c>
      <c r="N93" t="inlineStr">
        <is>
          <t>1983</t>
        </is>
      </c>
    </row>
    <row r="94">
      <c r="A94" t="inlineStr">
        <is>
          <t>Tier 1 - Strong Fit</t>
        </is>
      </c>
      <c r="B94" t="inlineStr">
        <is>
          <t>Ridge Valley Exteriors, Inc</t>
        </is>
      </c>
      <c r="C94" t="inlineStr">
        <is>
          <t>55</t>
        </is>
      </c>
      <c r="D94" t="inlineStr">
        <is>
          <t>20000000</t>
        </is>
      </c>
      <c r="E94" s="2">
        <f>HYPERLINK("https://www.linkedin.com/in/derric-stull-4b753448","Derric Stull")</f>
        <v/>
      </c>
      <c r="F94" t="inlineStr">
        <is>
          <t>Family</t>
        </is>
      </c>
      <c r="G94" t="inlineStr">
        <is>
          <t>No</t>
        </is>
      </c>
      <c r="H94" t="inlineStr">
        <is>
          <t>Average</t>
        </is>
      </c>
      <c r="I94" t="inlineStr">
        <is>
          <t>construction</t>
        </is>
      </c>
      <c r="J94" t="inlineStr">
        <is>
          <t>Kennesaw</t>
        </is>
      </c>
      <c r="K94" t="inlineStr">
        <is>
          <t>Georgia</t>
        </is>
      </c>
      <c r="L94" t="inlineStr">
        <is>
          <t>http://www.ridgevalleyexteriors.com</t>
        </is>
      </c>
      <c r="M94" t="inlineStr">
        <is>
          <t>http://www.linkedin.com/company/ridge-valley-exteriors</t>
        </is>
      </c>
      <c r="N94" t="inlineStr">
        <is>
          <t>2009</t>
        </is>
      </c>
    </row>
    <row r="95">
      <c r="A95" t="inlineStr">
        <is>
          <t>Tier 1 - Strong Fit</t>
        </is>
      </c>
      <c r="B95" t="inlineStr">
        <is>
          <t>Putzel Electrical Contractors, Inc.</t>
        </is>
      </c>
      <c r="C95" t="inlineStr">
        <is>
          <t>55</t>
        </is>
      </c>
      <c r="D95" t="inlineStr">
        <is>
          <t>35935000</t>
        </is>
      </c>
      <c r="E95" s="2">
        <f>HYPERLINK("https://www.linkedin.com/in/nick-young0726","Nick Young")</f>
        <v/>
      </c>
      <c r="F95" t="inlineStr">
        <is>
          <t>Self</t>
        </is>
      </c>
      <c r="G95" t="inlineStr">
        <is>
          <t>No</t>
        </is>
      </c>
      <c r="H95" t="inlineStr">
        <is>
          <t>Average</t>
        </is>
      </c>
      <c r="I95" t="inlineStr">
        <is>
          <t>construction</t>
        </is>
      </c>
      <c r="J95" t="inlineStr">
        <is>
          <t>Norcross</t>
        </is>
      </c>
      <c r="K95" t="inlineStr">
        <is>
          <t>Georgia</t>
        </is>
      </c>
      <c r="L95" t="inlineStr">
        <is>
          <t>http://www.putzelelectric.com</t>
        </is>
      </c>
      <c r="M95" t="inlineStr">
        <is>
          <t>http://www.linkedin.com/company/putzel-electrical-contractors-inc.</t>
        </is>
      </c>
      <c r="N95" t="inlineStr">
        <is>
          <t>1893</t>
        </is>
      </c>
    </row>
    <row r="96">
      <c r="A96" t="inlineStr">
        <is>
          <t>Tier 1 - Strong Fit</t>
        </is>
      </c>
      <c r="B96" t="inlineStr">
        <is>
          <t>Ragsdale Heating, Air, Plumbing &amp; Electrical</t>
        </is>
      </c>
      <c r="C96" t="inlineStr">
        <is>
          <t>54</t>
        </is>
      </c>
      <c r="D96" t="inlineStr">
        <is>
          <t>12913000</t>
        </is>
      </c>
      <c r="E96" s="3" t="inlineStr">
        <is>
          <t>Art Ragsdale</t>
        </is>
      </c>
      <c r="F96" t="inlineStr">
        <is>
          <t>Small PE</t>
        </is>
      </c>
      <c r="G96" t="inlineStr">
        <is>
          <t>No</t>
        </is>
      </c>
      <c r="H96" t="inlineStr">
        <is>
          <t>Average</t>
        </is>
      </c>
      <c r="I96" t="inlineStr">
        <is>
          <t>consumer services</t>
        </is>
      </c>
      <c r="J96" t="inlineStr">
        <is>
          <t>Dallas</t>
        </is>
      </c>
      <c r="K96" t="inlineStr">
        <is>
          <t>Georgia</t>
        </is>
      </c>
      <c r="L96" t="inlineStr">
        <is>
          <t>http://www.ragsdaleair.com</t>
        </is>
      </c>
      <c r="M96" t="inlineStr">
        <is>
          <t>http://www.linkedin.com/company/ragsdaleair</t>
        </is>
      </c>
      <c r="N96" t="inlineStr">
        <is>
          <t>1996</t>
        </is>
      </c>
    </row>
    <row r="97">
      <c r="A97" t="inlineStr">
        <is>
          <t>Tier 1 - Strong Fit</t>
        </is>
      </c>
      <c r="B97" t="inlineStr">
        <is>
          <t>Capital City Mechanical Services, LLC</t>
        </is>
      </c>
      <c r="C97" t="inlineStr">
        <is>
          <t>54</t>
        </is>
      </c>
      <c r="D97" t="inlineStr">
        <is>
          <t>15011000</t>
        </is>
      </c>
      <c r="E97" s="3" t="inlineStr">
        <is>
          <t>Not found</t>
        </is>
      </c>
      <c r="F97" t="inlineStr">
        <is>
          <t>Self</t>
        </is>
      </c>
      <c r="G97" t="inlineStr">
        <is>
          <t>No</t>
        </is>
      </c>
      <c r="H97" t="inlineStr">
        <is>
          <t>Average</t>
        </is>
      </c>
      <c r="I97" t="inlineStr">
        <is>
          <t>facilities services</t>
        </is>
      </c>
      <c r="J97" t="inlineStr">
        <is>
          <t>Norcross</t>
        </is>
      </c>
      <c r="K97" t="inlineStr">
        <is>
          <t>Georgia</t>
        </is>
      </c>
      <c r="L97" t="inlineStr">
        <is>
          <t>http://www.ccmech.com</t>
        </is>
      </c>
      <c r="M97" t="inlineStr">
        <is>
          <t>http://www.linkedin.com/company/capital-city-mechanical-services-llc</t>
        </is>
      </c>
      <c r="N97" t="inlineStr">
        <is>
          <t>1990</t>
        </is>
      </c>
    </row>
    <row r="98">
      <c r="A98" t="inlineStr">
        <is>
          <t>Tier 1 - Strong Fit</t>
        </is>
      </c>
      <c r="B98" t="inlineStr">
        <is>
          <t>Conditioned Air Systems, Inc.</t>
        </is>
      </c>
      <c r="C98" t="inlineStr">
        <is>
          <t>53</t>
        </is>
      </c>
      <c r="D98" t="inlineStr">
        <is>
          <t>17321000</t>
        </is>
      </c>
      <c r="E98" s="3" t="inlineStr">
        <is>
          <t>Doug</t>
        </is>
      </c>
      <c r="F98" t="inlineStr">
        <is>
          <t>Family</t>
        </is>
      </c>
      <c r="G98" t="inlineStr">
        <is>
          <t>No</t>
        </is>
      </c>
      <c r="H98" t="inlineStr">
        <is>
          <t>Average</t>
        </is>
      </c>
      <c r="I98" t="inlineStr">
        <is>
          <t>machinery</t>
        </is>
      </c>
      <c r="J98" t="inlineStr">
        <is>
          <t>Gainesville</t>
        </is>
      </c>
      <c r="K98" t="inlineStr">
        <is>
          <t>Georgia</t>
        </is>
      </c>
      <c r="L98" t="inlineStr">
        <is>
          <t>http://www.conditionedairsystems.com</t>
        </is>
      </c>
      <c r="M98" t="inlineStr">
        <is>
          <t>http://www.linkedin.com/company/conditioned-air-systems-inc-</t>
        </is>
      </c>
    </row>
    <row r="99">
      <c r="A99" t="inlineStr">
        <is>
          <t>Tier 1 - Strong Fit</t>
        </is>
      </c>
      <c r="B99" t="inlineStr">
        <is>
          <t>EXCEL ELECTRICAL TECHNOLOGIES, INC.</t>
        </is>
      </c>
      <c r="C99" t="inlineStr">
        <is>
          <t>53</t>
        </is>
      </c>
      <c r="D99" t="inlineStr">
        <is>
          <t>24622000</t>
        </is>
      </c>
      <c r="E99" s="2">
        <f>HYPERLINK("https://www.linkedin.com/in/fowler-steve-29582444","Steve Fowler")</f>
        <v/>
      </c>
      <c r="F99" t="inlineStr">
        <is>
          <t>Self</t>
        </is>
      </c>
      <c r="G99" t="inlineStr">
        <is>
          <t>No</t>
        </is>
      </c>
      <c r="H99" t="inlineStr">
        <is>
          <t>Average</t>
        </is>
      </c>
      <c r="I99" t="inlineStr">
        <is>
          <t>construction</t>
        </is>
      </c>
      <c r="J99" t="inlineStr">
        <is>
          <t>Kennesaw</t>
        </is>
      </c>
      <c r="K99" t="inlineStr">
        <is>
          <t>Georgia</t>
        </is>
      </c>
      <c r="L99" t="inlineStr">
        <is>
          <t>http://www.excelelectrical.com</t>
        </is>
      </c>
      <c r="M99" t="inlineStr">
        <is>
          <t>http://www.linkedin.com/company/excel-electrical-technologies-inc.</t>
        </is>
      </c>
    </row>
    <row r="100">
      <c r="A100" t="inlineStr">
        <is>
          <t>Tier 1 - Strong Fit</t>
        </is>
      </c>
      <c r="B100" t="inlineStr">
        <is>
          <t>Tool Source Warehouse</t>
        </is>
      </c>
      <c r="C100" t="inlineStr">
        <is>
          <t>51</t>
        </is>
      </c>
      <c r="D100" t="inlineStr">
        <is>
          <t>10000000</t>
        </is>
      </c>
      <c r="E100" s="3" t="inlineStr">
        <is>
          <t>Rk Mueller</t>
        </is>
      </c>
      <c r="F100" t="inlineStr">
        <is>
          <t>Self</t>
        </is>
      </c>
      <c r="G100" t="inlineStr">
        <is>
          <t>No</t>
        </is>
      </c>
      <c r="H100" t="inlineStr">
        <is>
          <t>Average</t>
        </is>
      </c>
      <c r="I100" t="inlineStr">
        <is>
          <t>wholesale</t>
        </is>
      </c>
      <c r="J100" t="inlineStr">
        <is>
          <t>Tucker</t>
        </is>
      </c>
      <c r="K100" t="inlineStr">
        <is>
          <t>Georgia</t>
        </is>
      </c>
      <c r="L100" t="inlineStr">
        <is>
          <t>http://www.tswfast.com</t>
        </is>
      </c>
      <c r="M100" t="inlineStr">
        <is>
          <t>http://www.linkedin.com/company/tool-source-warehouse</t>
        </is>
      </c>
      <c r="N100" t="inlineStr">
        <is>
          <t>1994</t>
        </is>
      </c>
    </row>
    <row r="101">
      <c r="A101" t="inlineStr">
        <is>
          <t>Tier 1 - Strong Fit</t>
        </is>
      </c>
      <c r="B101" t="inlineStr">
        <is>
          <t>The Circle Group, LLC</t>
        </is>
      </c>
      <c r="C101" t="inlineStr">
        <is>
          <t>50</t>
        </is>
      </c>
      <c r="D101" t="inlineStr">
        <is>
          <t>35562000</t>
        </is>
      </c>
      <c r="E101" s="3" t="inlineStr">
        <is>
          <t>Not found</t>
        </is>
      </c>
      <c r="F101" t="inlineStr">
        <is>
          <t>Self</t>
        </is>
      </c>
      <c r="G101" t="inlineStr">
        <is>
          <t>No</t>
        </is>
      </c>
      <c r="H101" t="inlineStr">
        <is>
          <t>Average</t>
        </is>
      </c>
      <c r="I101" t="inlineStr">
        <is>
          <t>construction</t>
        </is>
      </c>
      <c r="J101" t="inlineStr">
        <is>
          <t>Alpharetta</t>
        </is>
      </c>
      <c r="K101" t="inlineStr">
        <is>
          <t>Georgia</t>
        </is>
      </c>
      <c r="L101" t="inlineStr">
        <is>
          <t>http://www.thecirclegroup.com</t>
        </is>
      </c>
      <c r="M101" t="inlineStr">
        <is>
          <t>http://www.linkedin.com/company/the-circle-group-llc</t>
        </is>
      </c>
    </row>
    <row r="102">
      <c r="A102" t="inlineStr">
        <is>
          <t>Tier 1 - Strong Fit</t>
        </is>
      </c>
      <c r="B102" t="inlineStr">
        <is>
          <t>PBI</t>
        </is>
      </c>
      <c r="C102" t="inlineStr">
        <is>
          <t>350</t>
        </is>
      </c>
      <c r="D102" t="inlineStr">
        <is>
          <t>25701000</t>
        </is>
      </c>
      <c r="E102" s="3" t="inlineStr">
        <is>
          <t>Matt Price</t>
        </is>
      </c>
      <c r="F102" t="inlineStr">
        <is>
          <t>Self</t>
        </is>
      </c>
      <c r="G102" t="inlineStr">
        <is>
          <t>No</t>
        </is>
      </c>
      <c r="H102" t="inlineStr">
        <is>
          <t>Average</t>
        </is>
      </c>
      <c r="I102" t="inlineStr">
        <is>
          <t>construction</t>
        </is>
      </c>
      <c r="J102" t="inlineStr">
        <is>
          <t>Charlotte</t>
        </is>
      </c>
      <c r="K102" t="inlineStr">
        <is>
          <t>North Carolina</t>
        </is>
      </c>
      <c r="L102" t="inlineStr">
        <is>
          <t>http://www.pricebrothersinc.com</t>
        </is>
      </c>
      <c r="M102" t="inlineStr">
        <is>
          <t>http://www.linkedin.com/company/pbiplumbing</t>
        </is>
      </c>
      <c r="N102" t="inlineStr">
        <is>
          <t>1977</t>
        </is>
      </c>
    </row>
    <row r="103">
      <c r="A103" t="inlineStr">
        <is>
          <t>Tier 1 - Strong Fit</t>
        </is>
      </c>
      <c r="B103" t="inlineStr">
        <is>
          <t>MCI - Mechanical Contractors, LLC</t>
        </is>
      </c>
      <c r="C103" t="inlineStr">
        <is>
          <t>220</t>
        </is>
      </c>
      <c r="D103" t="inlineStr">
        <is>
          <t>27651000</t>
        </is>
      </c>
      <c r="E103" s="3" t="inlineStr">
        <is>
          <t>Bill Champion</t>
        </is>
      </c>
      <c r="F103" t="inlineStr">
        <is>
          <t>Employee-Owned</t>
        </is>
      </c>
      <c r="G103" t="inlineStr">
        <is>
          <t>No</t>
        </is>
      </c>
      <c r="H103" t="inlineStr">
        <is>
          <t>Average</t>
        </is>
      </c>
      <c r="I103" t="inlineStr">
        <is>
          <t>construction</t>
        </is>
      </c>
      <c r="J103" t="inlineStr">
        <is>
          <t>Charlotte</t>
        </is>
      </c>
      <c r="K103" t="inlineStr">
        <is>
          <t>North Carolina</t>
        </is>
      </c>
      <c r="L103" t="inlineStr">
        <is>
          <t>http://www.mcihvac.com</t>
        </is>
      </c>
      <c r="M103" t="inlineStr">
        <is>
          <t>http://www.linkedin.com/company/mechanical-contractors</t>
        </is>
      </c>
      <c r="N103" t="inlineStr">
        <is>
          <t>1948</t>
        </is>
      </c>
    </row>
    <row r="104">
      <c r="A104" t="inlineStr">
        <is>
          <t>Tier 1 - Strong Fit</t>
        </is>
      </c>
      <c r="B104" t="inlineStr">
        <is>
          <t>Vertex Service Partners</t>
        </is>
      </c>
      <c r="C104" t="inlineStr">
        <is>
          <t>130</t>
        </is>
      </c>
      <c r="D104" t="inlineStr">
        <is>
          <t>39800000</t>
        </is>
      </c>
      <c r="E104" s="3" t="inlineStr">
        <is>
          <t>Dennis Elliott</t>
        </is>
      </c>
      <c r="F104" t="inlineStr">
        <is>
          <t>Small PE</t>
        </is>
      </c>
      <c r="G104" t="inlineStr">
        <is>
          <t>No</t>
        </is>
      </c>
      <c r="H104" t="inlineStr">
        <is>
          <t>Average</t>
        </is>
      </c>
      <c r="I104" t="inlineStr">
        <is>
          <t>consumer services</t>
        </is>
      </c>
      <c r="J104" t="inlineStr">
        <is>
          <t>Charlotte</t>
        </is>
      </c>
      <c r="K104" t="inlineStr">
        <is>
          <t>North Carolina</t>
        </is>
      </c>
      <c r="L104" t="inlineStr">
        <is>
          <t>http://www.vertexservicepartners.com</t>
        </is>
      </c>
      <c r="M104" t="inlineStr">
        <is>
          <t>http://www.linkedin.com/company/vertexservicepartners</t>
        </is>
      </c>
    </row>
    <row r="105">
      <c r="A105" t="inlineStr">
        <is>
          <t>Tier 1 - Strong Fit</t>
        </is>
      </c>
      <c r="B105" t="inlineStr">
        <is>
          <t>23rd Group</t>
        </is>
      </c>
      <c r="C105" t="inlineStr">
        <is>
          <t>100</t>
        </is>
      </c>
      <c r="D105" t="inlineStr">
        <is>
          <t>21900000</t>
        </is>
      </c>
      <c r="E105" s="2">
        <f>HYPERLINK("https://www.linkedin.com/in/greggross-23rdgroup","Gregg Ross")</f>
        <v/>
      </c>
      <c r="F105" t="inlineStr">
        <is>
          <t>Self</t>
        </is>
      </c>
      <c r="G105" t="inlineStr">
        <is>
          <t>No</t>
        </is>
      </c>
      <c r="H105" t="inlineStr">
        <is>
          <t>Average</t>
        </is>
      </c>
      <c r="I105" t="inlineStr">
        <is>
          <t>facilities services</t>
        </is>
      </c>
      <c r="J105" t="inlineStr">
        <is>
          <t>Charlotte</t>
        </is>
      </c>
      <c r="K105" t="inlineStr">
        <is>
          <t>North Carolina</t>
        </is>
      </c>
      <c r="L105" t="inlineStr">
        <is>
          <t>http://www.23rdgroup.com</t>
        </is>
      </c>
      <c r="M105" t="inlineStr">
        <is>
          <t>http://www.linkedin.com/company/23rdgroup</t>
        </is>
      </c>
      <c r="N105" t="inlineStr">
        <is>
          <t>2014</t>
        </is>
      </c>
    </row>
    <row r="106">
      <c r="A106" t="inlineStr">
        <is>
          <t>Tier 1 - Strong Fit</t>
        </is>
      </c>
      <c r="B106" t="inlineStr">
        <is>
          <t>D&amp;L Parts Company</t>
        </is>
      </c>
      <c r="C106" t="inlineStr">
        <is>
          <t>71</t>
        </is>
      </c>
      <c r="D106" t="inlineStr">
        <is>
          <t>15000000</t>
        </is>
      </c>
      <c r="E106" s="3" t="inlineStr">
        <is>
          <t>Not found</t>
        </is>
      </c>
      <c r="F106" t="inlineStr">
        <is>
          <t>Family</t>
        </is>
      </c>
      <c r="G106" t="inlineStr">
        <is>
          <t>No</t>
        </is>
      </c>
      <c r="H106" t="inlineStr">
        <is>
          <t>Average</t>
        </is>
      </c>
      <c r="I106" t="inlineStr">
        <is>
          <t>wholesale</t>
        </is>
      </c>
      <c r="J106" t="inlineStr">
        <is>
          <t>Charlotte</t>
        </is>
      </c>
      <c r="K106" t="inlineStr">
        <is>
          <t>North Carolina</t>
        </is>
      </c>
      <c r="L106" t="inlineStr">
        <is>
          <t>http://www.dlpartsco.com</t>
        </is>
      </c>
      <c r="M106" t="inlineStr">
        <is>
          <t>http://www.linkedin.com/company/d&amp;l-parts-company</t>
        </is>
      </c>
      <c r="N106" t="inlineStr">
        <is>
          <t>1955</t>
        </is>
      </c>
    </row>
    <row r="107">
      <c r="A107" t="inlineStr">
        <is>
          <t>Tier 1 - Strong Fit</t>
        </is>
      </c>
      <c r="B107" t="inlineStr">
        <is>
          <t>Quality Marketing</t>
        </is>
      </c>
      <c r="C107" t="inlineStr">
        <is>
          <t>68</t>
        </is>
      </c>
      <c r="D107" t="inlineStr">
        <is>
          <t>16081000</t>
        </is>
      </c>
      <c r="E107" s="3" t="inlineStr">
        <is>
          <t>Alfredo Perez</t>
        </is>
      </c>
      <c r="F107" t="inlineStr">
        <is>
          <t>Self</t>
        </is>
      </c>
      <c r="G107" t="inlineStr">
        <is>
          <t>No</t>
        </is>
      </c>
      <c r="H107" t="inlineStr">
        <is>
          <t>Average</t>
        </is>
      </c>
      <c r="I107" t="inlineStr">
        <is>
          <t>building materials</t>
        </is>
      </c>
      <c r="J107" t="inlineStr">
        <is>
          <t>Charlotte</t>
        </is>
      </c>
      <c r="K107" t="inlineStr">
        <is>
          <t>North Carolina</t>
        </is>
      </c>
      <c r="L107" t="inlineStr">
        <is>
          <t>http://www.qmarketing.biz</t>
        </is>
      </c>
      <c r="M107" t="inlineStr">
        <is>
          <t>http://www.linkedin.com/company/quality-marketing</t>
        </is>
      </c>
      <c r="N107" t="inlineStr">
        <is>
          <t>1975</t>
        </is>
      </c>
    </row>
    <row r="108">
      <c r="A108" t="inlineStr">
        <is>
          <t>Tier 1 - Strong Fit</t>
        </is>
      </c>
      <c r="B108" t="inlineStr">
        <is>
          <t>Yandle-Witherspoon Supply, Inc.</t>
        </is>
      </c>
      <c r="C108" t="inlineStr">
        <is>
          <t>67</t>
        </is>
      </c>
      <c r="D108" t="inlineStr">
        <is>
          <t>37196000</t>
        </is>
      </c>
      <c r="E108" s="2">
        <f>HYPERLINK("https://www.linkedin.com/in/jeff-tyson-b85623119","Jeff Tyson")</f>
        <v/>
      </c>
      <c r="F108" t="inlineStr">
        <is>
          <t>Self</t>
        </is>
      </c>
      <c r="G108" t="inlineStr">
        <is>
          <t>No</t>
        </is>
      </c>
      <c r="H108" t="inlineStr">
        <is>
          <t>Average</t>
        </is>
      </c>
      <c r="I108" t="inlineStr">
        <is>
          <t>wholesale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http://www.yandlewitherspoon.com</t>
        </is>
      </c>
      <c r="M108" t="inlineStr">
        <is>
          <t>http://www.linkedin.com/company/yandle-witherspoon-supply-inc</t>
        </is>
      </c>
      <c r="N108" t="inlineStr">
        <is>
          <t>1960</t>
        </is>
      </c>
    </row>
    <row r="109">
      <c r="A109" t="inlineStr">
        <is>
          <t>Tier 1 - Strong Fit</t>
        </is>
      </c>
      <c r="B109" t="inlineStr">
        <is>
          <t>ACTION MECHANICAL CONTRACTORS INC</t>
        </is>
      </c>
      <c r="C109" t="inlineStr">
        <is>
          <t>65</t>
        </is>
      </c>
      <c r="D109" t="inlineStr">
        <is>
          <t>22658000</t>
        </is>
      </c>
      <c r="E109" s="3" t="inlineStr">
        <is>
          <t>Not found</t>
        </is>
      </c>
      <c r="F109" t="inlineStr">
        <is>
          <t>Self</t>
        </is>
      </c>
      <c r="G109" t="inlineStr">
        <is>
          <t>No</t>
        </is>
      </c>
      <c r="H109" t="inlineStr">
        <is>
          <t>Average</t>
        </is>
      </c>
      <c r="I109" t="inlineStr">
        <is>
          <t>construction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http://www.actionmechanical.biz</t>
        </is>
      </c>
      <c r="M109" t="inlineStr">
        <is>
          <t>http://www.linkedin.com/company/action-mechanical-contractors-inc</t>
        </is>
      </c>
    </row>
    <row r="110">
      <c r="A110" t="inlineStr">
        <is>
          <t>Tier 1 - Strong Fit</t>
        </is>
      </c>
      <c r="B110" t="inlineStr">
        <is>
          <t>Web-Don, Inc.</t>
        </is>
      </c>
      <c r="C110" t="inlineStr">
        <is>
          <t>64</t>
        </is>
      </c>
      <c r="D110" t="inlineStr">
        <is>
          <t>36582000</t>
        </is>
      </c>
      <c r="E110" s="3" t="inlineStr">
        <is>
          <t>Missy O'Daniel</t>
        </is>
      </c>
      <c r="F110" t="inlineStr">
        <is>
          <t>Family</t>
        </is>
      </c>
      <c r="G110" t="inlineStr">
        <is>
          <t>No</t>
        </is>
      </c>
      <c r="H110" t="inlineStr">
        <is>
          <t>Average</t>
        </is>
      </c>
      <c r="I110" t="inlineStr">
        <is>
          <t>building materials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http://www.web-don.com</t>
        </is>
      </c>
      <c r="M110" t="inlineStr">
        <is>
          <t>http://www.linkedin.com/company/web-don-inc-</t>
        </is>
      </c>
      <c r="N110" t="inlineStr">
        <is>
          <t>1972</t>
        </is>
      </c>
    </row>
    <row r="111">
      <c r="A111" t="inlineStr">
        <is>
          <t>Tier 1 - Strong Fit</t>
        </is>
      </c>
      <c r="B111" t="inlineStr">
        <is>
          <t>Atlantech Distribution, Inc.</t>
        </is>
      </c>
      <c r="C111" t="inlineStr">
        <is>
          <t>64</t>
        </is>
      </c>
      <c r="D111" t="inlineStr">
        <is>
          <t>26043000</t>
        </is>
      </c>
      <c r="E111" s="3" t="inlineStr">
        <is>
          <t>Not found</t>
        </is>
      </c>
      <c r="F111" t="inlineStr">
        <is>
          <t>Employee-Owned</t>
        </is>
      </c>
      <c r="G111" t="inlineStr">
        <is>
          <t>No</t>
        </is>
      </c>
      <c r="H111" t="inlineStr">
        <is>
          <t>Average</t>
        </is>
      </c>
      <c r="I111" t="inlineStr">
        <is>
          <t>building materials</t>
        </is>
      </c>
      <c r="J111" t="inlineStr">
        <is>
          <t>Charlotte</t>
        </is>
      </c>
      <c r="K111" t="inlineStr">
        <is>
          <t>North Carolina</t>
        </is>
      </c>
      <c r="L111" t="inlineStr">
        <is>
          <t>http://www.atlantech1.com</t>
        </is>
      </c>
      <c r="M111" t="inlineStr">
        <is>
          <t>http://www.linkedin.com/company/atlantech-distribution-inc.</t>
        </is>
      </c>
    </row>
    <row r="112">
      <c r="A112" t="inlineStr">
        <is>
          <t>Tier 1 - Strong Fit</t>
        </is>
      </c>
      <c r="B112" t="inlineStr">
        <is>
          <t>STR Mechanical</t>
        </is>
      </c>
      <c r="C112" t="inlineStr">
        <is>
          <t>63</t>
        </is>
      </c>
      <c r="D112" t="inlineStr">
        <is>
          <t>19436000</t>
        </is>
      </c>
      <c r="E112" s="3" t="inlineStr">
        <is>
          <t>Keith Moore</t>
        </is>
      </c>
      <c r="F112" t="inlineStr">
        <is>
          <t>Public</t>
        </is>
      </c>
      <c r="G112" t="inlineStr">
        <is>
          <t>No</t>
        </is>
      </c>
      <c r="H112" t="inlineStr">
        <is>
          <t>Average</t>
        </is>
      </c>
      <c r="I112" t="inlineStr">
        <is>
          <t>facilities services</t>
        </is>
      </c>
      <c r="J112" t="inlineStr">
        <is>
          <t>Charlotte</t>
        </is>
      </c>
      <c r="K112" t="inlineStr">
        <is>
          <t>North Carolina</t>
        </is>
      </c>
      <c r="L112" t="inlineStr">
        <is>
          <t>http://www.strmechanical.com</t>
        </is>
      </c>
      <c r="M112" t="inlineStr">
        <is>
          <t>http://www.linkedin.com/company/str-mechanical</t>
        </is>
      </c>
      <c r="N112" t="inlineStr">
        <is>
          <t>2007</t>
        </is>
      </c>
    </row>
    <row r="113">
      <c r="A113" t="inlineStr">
        <is>
          <t>Tier 1 - Strong Fit</t>
        </is>
      </c>
      <c r="B113" t="inlineStr">
        <is>
          <t>Insulating Services, Inc.</t>
        </is>
      </c>
      <c r="C113" t="inlineStr">
        <is>
          <t>58</t>
        </is>
      </c>
      <c r="D113" t="inlineStr">
        <is>
          <t>22658000</t>
        </is>
      </c>
      <c r="E113" s="3" t="inlineStr">
        <is>
          <t>Not found</t>
        </is>
      </c>
      <c r="F113" t="inlineStr">
        <is>
          <t>Self</t>
        </is>
      </c>
      <c r="G113" t="inlineStr">
        <is>
          <t>No</t>
        </is>
      </c>
      <c r="H113" t="inlineStr">
        <is>
          <t>Average</t>
        </is>
      </c>
      <c r="I113" t="inlineStr">
        <is>
          <t>construction</t>
        </is>
      </c>
      <c r="J113" t="inlineStr">
        <is>
          <t>Charlotte</t>
        </is>
      </c>
      <c r="K113" t="inlineStr">
        <is>
          <t>North Carolina</t>
        </is>
      </c>
      <c r="L113" t="inlineStr">
        <is>
          <t>http://www.insulatingservices.com</t>
        </is>
      </c>
      <c r="M113" t="inlineStr">
        <is>
          <t>http://www.linkedin.com/company/insulating-services</t>
        </is>
      </c>
    </row>
    <row r="114">
      <c r="A114" t="inlineStr">
        <is>
          <t>Tier 1 - Strong Fit</t>
        </is>
      </c>
      <c r="B114" t="inlineStr">
        <is>
          <t>Smith &amp; Stevenson</t>
        </is>
      </c>
      <c r="C114" t="inlineStr">
        <is>
          <t>51</t>
        </is>
      </c>
      <c r="D114" t="inlineStr">
        <is>
          <t>20434000</t>
        </is>
      </c>
      <c r="E114" s="3" t="inlineStr">
        <is>
          <t>Not found</t>
        </is>
      </c>
      <c r="F114" t="inlineStr">
        <is>
          <t>Family</t>
        </is>
      </c>
      <c r="G114" t="inlineStr">
        <is>
          <t>No</t>
        </is>
      </c>
      <c r="H114" t="inlineStr">
        <is>
          <t>Average</t>
        </is>
      </c>
      <c r="I114" t="inlineStr">
        <is>
          <t>building materials</t>
        </is>
      </c>
      <c r="J114" t="inlineStr">
        <is>
          <t>Charlotte</t>
        </is>
      </c>
      <c r="K114" t="inlineStr">
        <is>
          <t>North Carolina</t>
        </is>
      </c>
      <c r="L114" t="inlineStr">
        <is>
          <t>http://www.smithandstevenson.com</t>
        </is>
      </c>
      <c r="M114" t="inlineStr">
        <is>
          <t>http://www.linkedin.com/company/smith-&amp;-stevenson</t>
        </is>
      </c>
      <c r="N114" t="inlineStr">
        <is>
          <t>1963</t>
        </is>
      </c>
    </row>
    <row r="115">
      <c r="A115" t="inlineStr">
        <is>
          <t>Tier 1 - Strong Fit</t>
        </is>
      </c>
      <c r="B115" t="inlineStr">
        <is>
          <t>Call Dad</t>
        </is>
      </c>
      <c r="C115" t="inlineStr">
        <is>
          <t>51</t>
        </is>
      </c>
      <c r="D115" t="inlineStr">
        <is>
          <t>10000000</t>
        </is>
      </c>
      <c r="E115" s="2">
        <f>HYPERLINK("https://www.linkedin.com/in/matt-pozda-0a73276","Matt Pozda")</f>
        <v/>
      </c>
      <c r="F115" t="inlineStr">
        <is>
          <t>Family</t>
        </is>
      </c>
      <c r="G115" t="inlineStr">
        <is>
          <t>No</t>
        </is>
      </c>
      <c r="H115" t="inlineStr">
        <is>
          <t>Average</t>
        </is>
      </c>
      <c r="I115" t="inlineStr">
        <is>
          <t>construction</t>
        </is>
      </c>
      <c r="J115" t="inlineStr">
        <is>
          <t>Charlotte</t>
        </is>
      </c>
      <c r="K115" t="inlineStr">
        <is>
          <t>North Carolina</t>
        </is>
      </c>
      <c r="L115" t="inlineStr">
        <is>
          <t>http://www.calldad.com</t>
        </is>
      </c>
      <c r="M115" t="inlineStr">
        <is>
          <t>http://www.linkedin.com/company/call-dad</t>
        </is>
      </c>
      <c r="N115" t="inlineStr">
        <is>
          <t>2013</t>
        </is>
      </c>
    </row>
    <row r="116">
      <c r="A116" t="inlineStr">
        <is>
          <t>Tier 1 - Strong Fit</t>
        </is>
      </c>
      <c r="B116" t="inlineStr">
        <is>
          <t>Nashville Machine Co Inc</t>
        </is>
      </c>
      <c r="C116" t="inlineStr">
        <is>
          <t>300</t>
        </is>
      </c>
      <c r="D116" t="inlineStr">
        <is>
          <t>17400000</t>
        </is>
      </c>
      <c r="E116" s="3" t="inlineStr">
        <is>
          <t>Not found</t>
        </is>
      </c>
      <c r="F116" t="inlineStr">
        <is>
          <t>Self</t>
        </is>
      </c>
      <c r="G116" t="inlineStr">
        <is>
          <t>No</t>
        </is>
      </c>
      <c r="H116" t="inlineStr">
        <is>
          <t>Average</t>
        </is>
      </c>
      <c r="I116" t="inlineStr">
        <is>
          <t>facilities services</t>
        </is>
      </c>
      <c r="J116" t="inlineStr">
        <is>
          <t>Nashville</t>
        </is>
      </c>
      <c r="K116" t="inlineStr">
        <is>
          <t>Tennessee</t>
        </is>
      </c>
      <c r="L116" t="inlineStr">
        <is>
          <t>http://www.nashvillemachine.com</t>
        </is>
      </c>
      <c r="M116" t="inlineStr">
        <is>
          <t>http://www.linkedin.com/company/nashville-machine-co-inc</t>
        </is>
      </c>
      <c r="N116" t="inlineStr">
        <is>
          <t>1887</t>
        </is>
      </c>
    </row>
    <row r="117">
      <c r="A117" t="inlineStr">
        <is>
          <t>Tier 1 - Strong Fit</t>
        </is>
      </c>
      <c r="B117" t="inlineStr">
        <is>
          <t>Guardian Access Solutions</t>
        </is>
      </c>
      <c r="C117" t="inlineStr">
        <is>
          <t>250</t>
        </is>
      </c>
      <c r="D117" t="inlineStr">
        <is>
          <t>20000000</t>
        </is>
      </c>
      <c r="E117" s="2">
        <f>HYPERLINK("https://www.linkedin.com/in/chad-colony-1077182","Chad Colony")</f>
        <v/>
      </c>
      <c r="F117" t="inlineStr">
        <is>
          <t>Small PE</t>
        </is>
      </c>
      <c r="G117" t="inlineStr">
        <is>
          <t>No</t>
        </is>
      </c>
      <c r="H117" t="inlineStr">
        <is>
          <t>Average</t>
        </is>
      </c>
      <c r="I117" t="inlineStr">
        <is>
          <t>security &amp; investigations</t>
        </is>
      </c>
      <c r="J117" t="inlineStr">
        <is>
          <t>Nashville</t>
        </is>
      </c>
      <c r="K117" t="inlineStr">
        <is>
          <t>Tennessee</t>
        </is>
      </c>
      <c r="L117" t="inlineStr">
        <is>
          <t>http://www.guardianaccess.com</t>
        </is>
      </c>
      <c r="M117" t="inlineStr">
        <is>
          <t>http://www.linkedin.com/company/guardian-access-solutions</t>
        </is>
      </c>
      <c r="N117" t="inlineStr">
        <is>
          <t>1987</t>
        </is>
      </c>
    </row>
    <row r="118">
      <c r="A118" t="inlineStr">
        <is>
          <t>Tier 1 - Strong Fit</t>
        </is>
      </c>
      <c r="B118" t="inlineStr">
        <is>
          <t>Ed's Supply</t>
        </is>
      </c>
      <c r="C118" t="inlineStr">
        <is>
          <t>200</t>
        </is>
      </c>
      <c r="D118" t="inlineStr">
        <is>
          <t>13200000</t>
        </is>
      </c>
      <c r="E118" s="3" t="inlineStr">
        <is>
          <t>Tucker Byram</t>
        </is>
      </c>
      <c r="F118" t="inlineStr">
        <is>
          <t>Small PE</t>
        </is>
      </c>
      <c r="G118" t="inlineStr">
        <is>
          <t>No</t>
        </is>
      </c>
      <c r="H118" t="inlineStr">
        <is>
          <t>Average</t>
        </is>
      </c>
      <c r="I118" t="inlineStr">
        <is>
          <t>wholesale</t>
        </is>
      </c>
      <c r="J118" t="inlineStr">
        <is>
          <t>Nashville</t>
        </is>
      </c>
      <c r="K118" t="inlineStr">
        <is>
          <t>Tennessee</t>
        </is>
      </c>
      <c r="L118" t="inlineStr">
        <is>
          <t>http://www.edssupply.com</t>
        </is>
      </c>
      <c r="M118" t="inlineStr">
        <is>
          <t>http://www.linkedin.com/company/eds-supply</t>
        </is>
      </c>
      <c r="N118" t="inlineStr">
        <is>
          <t>1957</t>
        </is>
      </c>
    </row>
    <row r="119">
      <c r="A119" t="inlineStr">
        <is>
          <t>Tier 1 - Strong Fit</t>
        </is>
      </c>
      <c r="B119" t="inlineStr">
        <is>
          <t>NASBA</t>
        </is>
      </c>
      <c r="C119" t="inlineStr">
        <is>
          <t>190</t>
        </is>
      </c>
      <c r="D119" t="inlineStr">
        <is>
          <t>46703000</t>
        </is>
      </c>
      <c r="E119" s="3" t="inlineStr">
        <is>
          <t>Not found</t>
        </is>
      </c>
      <c r="F119" t="inlineStr">
        <is>
          <t>Nonprofit</t>
        </is>
      </c>
      <c r="G119" t="inlineStr">
        <is>
          <t>No</t>
        </is>
      </c>
      <c r="H119" t="inlineStr">
        <is>
          <t>Good</t>
        </is>
      </c>
      <c r="I119" t="inlineStr">
        <is>
          <t>accounting</t>
        </is>
      </c>
      <c r="J119" t="inlineStr">
        <is>
          <t>Nashville</t>
        </is>
      </c>
      <c r="K119" t="inlineStr">
        <is>
          <t>Tennessee</t>
        </is>
      </c>
      <c r="L119" t="inlineStr">
        <is>
          <t>http://www.nasba.org</t>
        </is>
      </c>
      <c r="M119" t="inlineStr">
        <is>
          <t>http://www.linkedin.com/company/nasba</t>
        </is>
      </c>
      <c r="N119" t="inlineStr">
        <is>
          <t>1908</t>
        </is>
      </c>
    </row>
    <row r="120">
      <c r="A120" t="inlineStr">
        <is>
          <t>Tier 1 - Strong Fit</t>
        </is>
      </c>
      <c r="B120" t="inlineStr">
        <is>
          <t>Stones River Electric</t>
        </is>
      </c>
      <c r="C120" t="inlineStr">
        <is>
          <t>170</t>
        </is>
      </c>
      <c r="D120" t="inlineStr">
        <is>
          <t>50000000</t>
        </is>
      </c>
      <c r="E120" s="2">
        <f>HYPERLINK("https://www.linkedin.com/in/jami-hall-05ba6b10","Jami Hall")</f>
        <v/>
      </c>
      <c r="F120" t="inlineStr">
        <is>
          <t>Family</t>
        </is>
      </c>
      <c r="G120" t="inlineStr">
        <is>
          <t>No</t>
        </is>
      </c>
      <c r="H120" t="inlineStr">
        <is>
          <t>Average</t>
        </is>
      </c>
      <c r="I120" t="inlineStr">
        <is>
          <t>construction</t>
        </is>
      </c>
      <c r="J120" t="inlineStr">
        <is>
          <t>Nashville</t>
        </is>
      </c>
      <c r="K120" t="inlineStr">
        <is>
          <t>Tennessee</t>
        </is>
      </c>
      <c r="L120" t="inlineStr">
        <is>
          <t>http://www.stonesriverelectric.com</t>
        </is>
      </c>
      <c r="M120" t="inlineStr">
        <is>
          <t>http://www.linkedin.com/company/stones-river-electric</t>
        </is>
      </c>
      <c r="N120" t="inlineStr">
        <is>
          <t>1990</t>
        </is>
      </c>
    </row>
    <row r="121">
      <c r="A121" t="inlineStr">
        <is>
          <t>Tier 1 - Strong Fit</t>
        </is>
      </c>
      <c r="B121" t="inlineStr">
        <is>
          <t>Hayes Pipe Supply, Inc.</t>
        </is>
      </c>
      <c r="C121" t="inlineStr">
        <is>
          <t>150</t>
        </is>
      </c>
      <c r="D121" t="inlineStr">
        <is>
          <t>35100000</t>
        </is>
      </c>
      <c r="E121" s="2">
        <f>HYPERLINK("https://www.linkedin.com/in/jenks-hayes-80123323","Jenks Hayes")</f>
        <v/>
      </c>
      <c r="F121" t="inlineStr">
        <is>
          <t>Family</t>
        </is>
      </c>
      <c r="G121" t="inlineStr">
        <is>
          <t>No</t>
        </is>
      </c>
      <c r="H121" t="inlineStr">
        <is>
          <t>Average</t>
        </is>
      </c>
      <c r="I121" t="inlineStr">
        <is>
          <t>logistics &amp; supply chain</t>
        </is>
      </c>
      <c r="J121" t="inlineStr">
        <is>
          <t>Nashville</t>
        </is>
      </c>
      <c r="K121" t="inlineStr">
        <is>
          <t>Tennessee</t>
        </is>
      </c>
      <c r="L121" t="inlineStr">
        <is>
          <t>http://www.hayespipe.com</t>
        </is>
      </c>
      <c r="M121" t="inlineStr">
        <is>
          <t>http://www.linkedin.com/company/hayes-pipe-supply-inc.</t>
        </is>
      </c>
      <c r="N121" t="inlineStr">
        <is>
          <t>1973</t>
        </is>
      </c>
    </row>
    <row r="122">
      <c r="A122" t="inlineStr">
        <is>
          <t>Tier 1 - Strong Fit</t>
        </is>
      </c>
      <c r="B122" t="inlineStr">
        <is>
          <t>Team Air Distributing</t>
        </is>
      </c>
      <c r="C122" t="inlineStr">
        <is>
          <t>140</t>
        </is>
      </c>
      <c r="D122" t="inlineStr">
        <is>
          <t>14000000</t>
        </is>
      </c>
      <c r="E122" s="2">
        <f>HYPERLINK("https://www.linkedin.com/in/jeff-wallace-25168a28","Jeff Wallace")</f>
        <v/>
      </c>
      <c r="F122" t="inlineStr">
        <is>
          <t>Self</t>
        </is>
      </c>
      <c r="G122" t="inlineStr">
        <is>
          <t>No</t>
        </is>
      </c>
      <c r="H122" t="inlineStr">
        <is>
          <t>Average</t>
        </is>
      </c>
      <c r="I122" t="inlineStr">
        <is>
          <t>wholesale</t>
        </is>
      </c>
      <c r="J122" t="inlineStr">
        <is>
          <t>Nashville</t>
        </is>
      </c>
      <c r="K122" t="inlineStr">
        <is>
          <t>Tennessee</t>
        </is>
      </c>
      <c r="L122" t="inlineStr">
        <is>
          <t>http://www.teamairdist.com</t>
        </is>
      </c>
      <c r="M122" t="inlineStr">
        <is>
          <t>http://www.linkedin.com/company/team-air-distributing</t>
        </is>
      </c>
      <c r="N122" t="inlineStr">
        <is>
          <t>1990</t>
        </is>
      </c>
    </row>
    <row r="123">
      <c r="A123" t="inlineStr">
        <is>
          <t>Tier 1 - Strong Fit</t>
        </is>
      </c>
      <c r="B123" t="inlineStr">
        <is>
          <t>National HVAC Service</t>
        </is>
      </c>
      <c r="C123" t="inlineStr">
        <is>
          <t>79</t>
        </is>
      </c>
      <c r="D123" t="inlineStr">
        <is>
          <t>30324000</t>
        </is>
      </c>
      <c r="E123" s="3" t="inlineStr">
        <is>
          <t>Robert D. Lehman III</t>
        </is>
      </c>
      <c r="F123" t="inlineStr">
        <is>
          <t>Small PE</t>
        </is>
      </c>
      <c r="G123" t="inlineStr">
        <is>
          <t>No</t>
        </is>
      </c>
      <c r="H123" t="inlineStr">
        <is>
          <t>Average</t>
        </is>
      </c>
      <c r="I123" t="inlineStr">
        <is>
          <t>facilities services</t>
        </is>
      </c>
      <c r="J123" t="inlineStr">
        <is>
          <t>Nashville</t>
        </is>
      </c>
      <c r="K123" t="inlineStr">
        <is>
          <t>Tennessee</t>
        </is>
      </c>
      <c r="L123" t="inlineStr">
        <is>
          <t>http://www.nationalhvacservice.com</t>
        </is>
      </c>
      <c r="M123" t="inlineStr">
        <is>
          <t>http://www.linkedin.com/company/national-hvac-service</t>
        </is>
      </c>
    </row>
    <row r="124">
      <c r="A124" t="inlineStr">
        <is>
          <t>Tier 1 - Strong Fit</t>
        </is>
      </c>
      <c r="B124" t="inlineStr">
        <is>
          <t>Roscoe Brown, Inc.</t>
        </is>
      </c>
      <c r="C124" t="inlineStr">
        <is>
          <t>70</t>
        </is>
      </c>
      <c r="D124" t="inlineStr">
        <is>
          <t>13041000</t>
        </is>
      </c>
      <c r="E124" s="3" t="inlineStr">
        <is>
          <t>Brian Byrd</t>
        </is>
      </c>
      <c r="F124" t="inlineStr">
        <is>
          <t>Self</t>
        </is>
      </c>
      <c r="G124" t="inlineStr">
        <is>
          <t>No</t>
        </is>
      </c>
      <c r="H124" t="inlineStr">
        <is>
          <t>Average</t>
        </is>
      </c>
      <c r="I124" t="inlineStr">
        <is>
          <t>construction</t>
        </is>
      </c>
      <c r="J124" t="inlineStr">
        <is>
          <t>Murfreesboro</t>
        </is>
      </c>
      <c r="K124" t="inlineStr">
        <is>
          <t>Tennessee</t>
        </is>
      </c>
      <c r="L124" t="inlineStr">
        <is>
          <t>http://www.roscoebrown.com</t>
        </is>
      </c>
      <c r="M124" t="inlineStr">
        <is>
          <t>http://www.linkedin.com/company/roscoe-brown-inc.</t>
        </is>
      </c>
      <c r="N124" t="inlineStr">
        <is>
          <t>1940</t>
        </is>
      </c>
    </row>
    <row r="125">
      <c r="A125" t="inlineStr">
        <is>
          <t>Tier 1 - Strong Fit</t>
        </is>
      </c>
      <c r="B125" t="inlineStr">
        <is>
          <t>CONVENTION PRODUCTION RIGGING, INC.</t>
        </is>
      </c>
      <c r="C125" t="inlineStr">
        <is>
          <t>70</t>
        </is>
      </c>
      <c r="D125" t="inlineStr">
        <is>
          <t>21994000</t>
        </is>
      </c>
      <c r="E125" s="2">
        <f>HYPERLINK("https://www.linkedin.com/in/richard-amend-9104398","Richard Amend")</f>
        <v/>
      </c>
      <c r="F125" t="inlineStr">
        <is>
          <t>Self</t>
        </is>
      </c>
      <c r="G125" t="inlineStr">
        <is>
          <t>No</t>
        </is>
      </c>
      <c r="H125" t="inlineStr">
        <is>
          <t>Average</t>
        </is>
      </c>
      <c r="I125" t="inlineStr">
        <is>
          <t>individual &amp; family services</t>
        </is>
      </c>
      <c r="J125" t="inlineStr">
        <is>
          <t>Nashville</t>
        </is>
      </c>
      <c r="K125" t="inlineStr">
        <is>
          <t>Tennessee</t>
        </is>
      </c>
      <c r="L125" t="inlineStr">
        <is>
          <t>http://www.cprigging.com</t>
        </is>
      </c>
      <c r="M125" t="inlineStr">
        <is>
          <t>http://www.linkedin.com/company/convention-production-rigging-inc.</t>
        </is>
      </c>
      <c r="N125" t="inlineStr">
        <is>
          <t>2002</t>
        </is>
      </c>
    </row>
    <row r="126">
      <c r="A126" t="inlineStr">
        <is>
          <t>Tier 1 - Strong Fit</t>
        </is>
      </c>
      <c r="B126" t="inlineStr">
        <is>
          <t>ABEC Electric Company, LLC</t>
        </is>
      </c>
      <c r="C126" t="inlineStr">
        <is>
          <t>67</t>
        </is>
      </c>
      <c r="D126" t="inlineStr">
        <is>
          <t>11244000</t>
        </is>
      </c>
      <c r="E126" s="2">
        <f>HYPERLINK("https://www.linkedin.com/in/stevebankston","Steve Bankston")</f>
        <v/>
      </c>
      <c r="F126" t="inlineStr">
        <is>
          <t>Self</t>
        </is>
      </c>
      <c r="G126" t="inlineStr">
        <is>
          <t>No</t>
        </is>
      </c>
      <c r="H126" t="inlineStr">
        <is>
          <t>Average</t>
        </is>
      </c>
      <c r="I126" t="inlineStr">
        <is>
          <t>construction</t>
        </is>
      </c>
      <c r="J126" t="inlineStr">
        <is>
          <t>Nashville</t>
        </is>
      </c>
      <c r="K126" t="inlineStr">
        <is>
          <t>Tennessee</t>
        </is>
      </c>
      <c r="L126" t="inlineStr">
        <is>
          <t>http://www.abecelectric.com</t>
        </is>
      </c>
      <c r="M126" t="inlineStr">
        <is>
          <t>http://www.linkedin.com/company/abec-electric-company</t>
        </is>
      </c>
      <c r="N126" t="inlineStr">
        <is>
          <t>1996</t>
        </is>
      </c>
    </row>
    <row r="127">
      <c r="A127" t="inlineStr">
        <is>
          <t>Tier 1 - Strong Fit</t>
        </is>
      </c>
      <c r="B127" t="inlineStr">
        <is>
          <t>Quality Liaison Services of North America</t>
        </is>
      </c>
      <c r="C127" t="inlineStr">
        <is>
          <t>64</t>
        </is>
      </c>
      <c r="D127" t="inlineStr">
        <is>
          <t>29000000</t>
        </is>
      </c>
      <c r="E127" s="3" t="inlineStr">
        <is>
          <t>Jeff Glowacki</t>
        </is>
      </c>
      <c r="F127" t="inlineStr">
        <is>
          <t>Self</t>
        </is>
      </c>
      <c r="G127" t="inlineStr">
        <is>
          <t>Chris Fitzgerald</t>
        </is>
      </c>
      <c r="H127" t="inlineStr">
        <is>
          <t>Average</t>
        </is>
      </c>
      <c r="I127" t="inlineStr">
        <is>
          <t>mechanical or industrial engineering</t>
        </is>
      </c>
      <c r="J127" t="inlineStr">
        <is>
          <t>Hendersonville</t>
        </is>
      </c>
      <c r="K127" t="inlineStr">
        <is>
          <t>Tennessee</t>
        </is>
      </c>
      <c r="L127" t="inlineStr">
        <is>
          <t>http://www.qlsquality.com</t>
        </is>
      </c>
      <c r="M127" t="inlineStr">
        <is>
          <t>http://www.linkedin.com/company/quality-liaison-services-of-north-america</t>
        </is>
      </c>
      <c r="N127" t="inlineStr">
        <is>
          <t>2002</t>
        </is>
      </c>
    </row>
    <row r="128">
      <c r="A128" t="inlineStr">
        <is>
          <t>Tier 1 - Strong Fit</t>
        </is>
      </c>
      <c r="B128" t="inlineStr">
        <is>
          <t>Porter Roofing Contractors, Inc</t>
        </is>
      </c>
      <c r="C128" t="inlineStr">
        <is>
          <t>62</t>
        </is>
      </c>
      <c r="D128" t="inlineStr">
        <is>
          <t>17215000</t>
        </is>
      </c>
      <c r="E128" s="2">
        <f>HYPERLINK("https://www.linkedin.com/in/eric-cason-54343166","Eric Cason")</f>
        <v/>
      </c>
      <c r="F128" t="inlineStr">
        <is>
          <t>Self</t>
        </is>
      </c>
      <c r="G128" t="inlineStr">
        <is>
          <t>No</t>
        </is>
      </c>
      <c r="H128" t="inlineStr">
        <is>
          <t>Average</t>
        </is>
      </c>
      <c r="I128" t="inlineStr">
        <is>
          <t>construction</t>
        </is>
      </c>
      <c r="J128" t="inlineStr">
        <is>
          <t>Woodbury</t>
        </is>
      </c>
      <c r="K128" t="inlineStr">
        <is>
          <t>Tennessee</t>
        </is>
      </c>
      <c r="L128" t="inlineStr">
        <is>
          <t>http://www.porter-roofing.com</t>
        </is>
      </c>
      <c r="M128" t="inlineStr">
        <is>
          <t>http://www.linkedin.com/company/porter-roofing-contractors-inc</t>
        </is>
      </c>
      <c r="N128" t="inlineStr">
        <is>
          <t>1971</t>
        </is>
      </c>
    </row>
    <row r="129">
      <c r="A129" t="inlineStr">
        <is>
          <t>Tier 1 - Strong Fit</t>
        </is>
      </c>
      <c r="B129" t="inlineStr">
        <is>
          <t>Guardian Systems</t>
        </is>
      </c>
      <c r="C129" t="inlineStr">
        <is>
          <t>56</t>
        </is>
      </c>
      <c r="D129" t="inlineStr">
        <is>
          <t>10000000</t>
        </is>
      </c>
      <c r="E129" s="3" t="inlineStr">
        <is>
          <t>Not found</t>
        </is>
      </c>
      <c r="F129" t="inlineStr">
        <is>
          <t>Self</t>
        </is>
      </c>
      <c r="G129" t="inlineStr">
        <is>
          <t>No</t>
        </is>
      </c>
      <c r="H129" t="inlineStr">
        <is>
          <t>Average</t>
        </is>
      </c>
      <c r="I129" t="inlineStr">
        <is>
          <t>security &amp; investigations</t>
        </is>
      </c>
      <c r="J129" t="inlineStr">
        <is>
          <t>Smyrna</t>
        </is>
      </c>
      <c r="K129" t="inlineStr">
        <is>
          <t>Tennessee</t>
        </is>
      </c>
      <c r="L129" t="inlineStr">
        <is>
          <t>http://www.mygss.com</t>
        </is>
      </c>
      <c r="M129" t="inlineStr">
        <is>
          <t>http://www.linkedin.com/company/guardian-systems-llc</t>
        </is>
      </c>
      <c r="N129" t="inlineStr">
        <is>
          <t>1998</t>
        </is>
      </c>
    </row>
    <row r="130">
      <c r="A130" t="inlineStr">
        <is>
          <t>Tier 1 - Strong Fit</t>
        </is>
      </c>
      <c r="B130" t="inlineStr">
        <is>
          <t>Ellsworth Systems</t>
        </is>
      </c>
      <c r="C130" t="inlineStr">
        <is>
          <t>55</t>
        </is>
      </c>
      <c r="D130" t="inlineStr">
        <is>
          <t>13907000</t>
        </is>
      </c>
      <c r="E130" s="2">
        <f>HYPERLINK("https://www.linkedin.com/in/connorwalker","Connor Walker")</f>
        <v/>
      </c>
      <c r="F130" t="inlineStr">
        <is>
          <t>Self</t>
        </is>
      </c>
      <c r="G130" t="inlineStr">
        <is>
          <t>No</t>
        </is>
      </c>
      <c r="H130" t="inlineStr">
        <is>
          <t>Average</t>
        </is>
      </c>
      <c r="I130" t="inlineStr">
        <is>
          <t>management consulting</t>
        </is>
      </c>
      <c r="J130" t="inlineStr">
        <is>
          <t>Franklin</t>
        </is>
      </c>
      <c r="K130" t="inlineStr">
        <is>
          <t>Tennessee</t>
        </is>
      </c>
      <c r="L130" t="inlineStr">
        <is>
          <t>http://www.ellsworthsystems.com</t>
        </is>
      </c>
      <c r="M130" t="inlineStr">
        <is>
          <t>http://www.linkedin.com/company/ellsworth-systems-llc</t>
        </is>
      </c>
      <c r="N130" t="inlineStr">
        <is>
          <t>1987</t>
        </is>
      </c>
    </row>
    <row r="131">
      <c r="A131" t="inlineStr">
        <is>
          <t>Tier 1 - Strong Fit</t>
        </is>
      </c>
      <c r="B131" t="inlineStr">
        <is>
          <t>Empower Electric, LLC</t>
        </is>
      </c>
      <c r="C131" t="inlineStr">
        <is>
          <t>54</t>
        </is>
      </c>
      <c r="D131" t="inlineStr">
        <is>
          <t>43071000</t>
        </is>
      </c>
      <c r="E131" s="2">
        <f>HYPERLINK("https://www.linkedin.com/in/steve-kirby-09427b12","Steve Kirby")</f>
        <v/>
      </c>
      <c r="F131" t="inlineStr">
        <is>
          <t>Self</t>
        </is>
      </c>
      <c r="G131" t="inlineStr">
        <is>
          <t>No</t>
        </is>
      </c>
      <c r="H131" t="inlineStr">
        <is>
          <t>Average</t>
        </is>
      </c>
      <c r="I131" t="inlineStr">
        <is>
          <t>construction</t>
        </is>
      </c>
      <c r="J131" t="inlineStr">
        <is>
          <t>Nashville</t>
        </is>
      </c>
      <c r="K131" t="inlineStr">
        <is>
          <t>Tennessee</t>
        </is>
      </c>
      <c r="L131" t="inlineStr">
        <is>
          <t>http://www.empower-electric.com</t>
        </is>
      </c>
      <c r="M131" t="inlineStr">
        <is>
          <t>http://www.linkedin.com/company/empowerelectricnash</t>
        </is>
      </c>
      <c r="N131" t="inlineStr">
        <is>
          <t>2008</t>
        </is>
      </c>
    </row>
    <row r="132">
      <c r="A132" t="inlineStr">
        <is>
          <t>Tier 1 - Strong Fit</t>
        </is>
      </c>
      <c r="B132" t="inlineStr">
        <is>
          <t>M2 Services</t>
        </is>
      </c>
      <c r="C132" t="inlineStr">
        <is>
          <t>800</t>
        </is>
      </c>
      <c r="D132" t="inlineStr">
        <is>
          <t>42200000</t>
        </is>
      </c>
      <c r="E132" s="3" t="inlineStr">
        <is>
          <t>Not found</t>
        </is>
      </c>
      <c r="F132" t="inlineStr">
        <is>
          <t>Self</t>
        </is>
      </c>
      <c r="G132" t="inlineStr">
        <is>
          <t>No</t>
        </is>
      </c>
      <c r="H132" t="inlineStr">
        <is>
          <t>Average</t>
        </is>
      </c>
      <c r="I132" t="inlineStr">
        <is>
          <t>aviation &amp; aerospace</t>
        </is>
      </c>
      <c r="J132" t="inlineStr">
        <is>
          <t>McKinney</t>
        </is>
      </c>
      <c r="K132" t="inlineStr">
        <is>
          <t>Texas</t>
        </is>
      </c>
      <c r="L132" t="inlineStr">
        <is>
          <t>http://www.m2-services.com</t>
        </is>
      </c>
      <c r="M132" t="inlineStr">
        <is>
          <t>http://www.linkedin.com/company/m2-services</t>
        </is>
      </c>
      <c r="N132" t="inlineStr">
        <is>
          <t>1999</t>
        </is>
      </c>
    </row>
    <row r="133">
      <c r="A133" t="inlineStr">
        <is>
          <t>Tier 1 - Strong Fit</t>
        </is>
      </c>
      <c r="B133" t="inlineStr">
        <is>
          <t>Polk Mechanical Company</t>
        </is>
      </c>
      <c r="C133" t="inlineStr">
        <is>
          <t>620</t>
        </is>
      </c>
      <c r="D133" t="inlineStr">
        <is>
          <t>38000000</t>
        </is>
      </c>
      <c r="E133" s="3" t="inlineStr">
        <is>
          <t>Fran McCann</t>
        </is>
      </c>
      <c r="F133" t="inlineStr">
        <is>
          <t>Self</t>
        </is>
      </c>
      <c r="G133" t="inlineStr">
        <is>
          <t>No</t>
        </is>
      </c>
      <c r="H133" t="inlineStr">
        <is>
          <t>Average</t>
        </is>
      </c>
      <c r="I133" t="inlineStr">
        <is>
          <t>construction</t>
        </is>
      </c>
      <c r="J133" t="inlineStr">
        <is>
          <t>Grand Prairie</t>
        </is>
      </c>
      <c r="K133" t="inlineStr">
        <is>
          <t>Texas</t>
        </is>
      </c>
      <c r="L133" t="inlineStr">
        <is>
          <t>http://www.polkmechanical.com</t>
        </is>
      </c>
      <c r="M133" t="inlineStr">
        <is>
          <t>http://www.linkedin.com/company/polk-mechanical</t>
        </is>
      </c>
      <c r="N133" t="inlineStr">
        <is>
          <t>2003</t>
        </is>
      </c>
    </row>
    <row r="134">
      <c r="A134" t="inlineStr">
        <is>
          <t>Tier 1 - Strong Fit</t>
        </is>
      </c>
      <c r="B134" t="inlineStr">
        <is>
          <t>Gowan/Garrett, Inc.</t>
        </is>
      </c>
      <c r="C134" t="inlineStr">
        <is>
          <t>550</t>
        </is>
      </c>
      <c r="D134" t="inlineStr">
        <is>
          <t>40073000</t>
        </is>
      </c>
      <c r="E134" s="3" t="inlineStr">
        <is>
          <t>Not found</t>
        </is>
      </c>
      <c r="F134" t="inlineStr">
        <is>
          <t>Public</t>
        </is>
      </c>
      <c r="G134" t="inlineStr">
        <is>
          <t>No</t>
        </is>
      </c>
      <c r="H134" t="inlineStr">
        <is>
          <t>Average</t>
        </is>
      </c>
      <c r="I134" t="inlineStr">
        <is>
          <t>construction</t>
        </is>
      </c>
      <c r="J134" t="inlineStr">
        <is>
          <t>Houston</t>
        </is>
      </c>
      <c r="K134" t="inlineStr">
        <is>
          <t>Texas</t>
        </is>
      </c>
      <c r="L134" t="inlineStr">
        <is>
          <t>http://www.gowangarrett.com</t>
        </is>
      </c>
      <c r="M134" t="inlineStr">
        <is>
          <t>http://www.linkedin.com/company/gowan-mechanical-services</t>
        </is>
      </c>
    </row>
    <row r="135">
      <c r="A135" t="inlineStr">
        <is>
          <t>Tier 1 - Strong Fit</t>
        </is>
      </c>
      <c r="B135" t="inlineStr">
        <is>
          <t>Carrco Painting</t>
        </is>
      </c>
      <c r="C135" t="inlineStr">
        <is>
          <t>450</t>
        </is>
      </c>
      <c r="D135" t="inlineStr">
        <is>
          <t>26438000</t>
        </is>
      </c>
      <c r="E135" s="2">
        <f>HYPERLINK("https://www.linkedin.com/in/f-javier-huerta-b5178917","F. Javier Huerta")</f>
        <v/>
      </c>
      <c r="F135" t="inlineStr">
        <is>
          <t>Family</t>
        </is>
      </c>
      <c r="G135" t="inlineStr">
        <is>
          <t>No</t>
        </is>
      </c>
      <c r="H135" t="inlineStr">
        <is>
          <t>Average</t>
        </is>
      </c>
      <c r="I135" t="inlineStr">
        <is>
          <t>construction</t>
        </is>
      </c>
      <c r="J135" t="inlineStr">
        <is>
          <t>Dallas</t>
        </is>
      </c>
      <c r="K135" t="inlineStr">
        <is>
          <t>Texas</t>
        </is>
      </c>
      <c r="L135" t="inlineStr">
        <is>
          <t>http://www.carrcopainting.com</t>
        </is>
      </c>
      <c r="M135" t="inlineStr">
        <is>
          <t>http://www.linkedin.com/company/carrco-painting-contractors-inc</t>
        </is>
      </c>
      <c r="N135" t="inlineStr">
        <is>
          <t>1994</t>
        </is>
      </c>
    </row>
    <row r="136">
      <c r="A136" t="inlineStr">
        <is>
          <t>Tier 1 - Strong Fit</t>
        </is>
      </c>
      <c r="B136" t="inlineStr">
        <is>
          <t>HaloMD</t>
        </is>
      </c>
      <c r="C136" t="inlineStr">
        <is>
          <t>450</t>
        </is>
      </c>
      <c r="D136" t="inlineStr">
        <is>
          <t>25400000</t>
        </is>
      </c>
      <c r="E136" s="2">
        <f>HYPERLINK("https://www.linkedin.com/in/alla-laroque-980b27162","Alla LaRoque")</f>
        <v/>
      </c>
      <c r="F136" t="inlineStr">
        <is>
          <t>Self</t>
        </is>
      </c>
      <c r="G136" t="inlineStr">
        <is>
          <t>No</t>
        </is>
      </c>
      <c r="H136" t="inlineStr">
        <is>
          <t>Good</t>
        </is>
      </c>
      <c r="I136" t="inlineStr">
        <is>
          <t>hospital &amp; health care</t>
        </is>
      </c>
      <c r="J136" t="inlineStr">
        <is>
          <t>Addison</t>
        </is>
      </c>
      <c r="K136" t="inlineStr">
        <is>
          <t>Texas</t>
        </is>
      </c>
      <c r="L136" t="inlineStr">
        <is>
          <t>http://www.halomd.com</t>
        </is>
      </c>
      <c r="M136" t="inlineStr">
        <is>
          <t>http://www.linkedin.com/company/halomd</t>
        </is>
      </c>
      <c r="N136" t="inlineStr">
        <is>
          <t>2022</t>
        </is>
      </c>
    </row>
    <row r="137">
      <c r="A137" t="inlineStr">
        <is>
          <t>Tier 1 - Strong Fit</t>
        </is>
      </c>
      <c r="B137" t="inlineStr">
        <is>
          <t>Alpha Testing</t>
        </is>
      </c>
      <c r="C137" t="inlineStr">
        <is>
          <t>440</t>
        </is>
      </c>
      <c r="D137" t="inlineStr">
        <is>
          <t>42800000</t>
        </is>
      </c>
      <c r="E137" s="3" t="inlineStr">
        <is>
          <t>Brian Powell</t>
        </is>
      </c>
      <c r="F137" t="inlineStr">
        <is>
          <t>Small PE</t>
        </is>
      </c>
      <c r="G137" t="inlineStr">
        <is>
          <t>No</t>
        </is>
      </c>
      <c r="H137" t="inlineStr">
        <is>
          <t>Average</t>
        </is>
      </c>
      <c r="I137" t="inlineStr">
        <is>
          <t>civil engineering</t>
        </is>
      </c>
      <c r="J137" t="inlineStr">
        <is>
          <t>Dallas</t>
        </is>
      </c>
      <c r="K137" t="inlineStr">
        <is>
          <t>Texas</t>
        </is>
      </c>
      <c r="L137" t="inlineStr">
        <is>
          <t>http://www.alphatesting.com</t>
        </is>
      </c>
      <c r="M137" t="inlineStr">
        <is>
          <t>http://www.linkedin.com/company/alpha-testing-llc</t>
        </is>
      </c>
      <c r="N137" t="inlineStr">
        <is>
          <t>1983</t>
        </is>
      </c>
    </row>
    <row r="138">
      <c r="A138" t="inlineStr">
        <is>
          <t>Tier 1 - Strong Fit</t>
        </is>
      </c>
      <c r="B138" t="inlineStr">
        <is>
          <t>McCorvey Sheet Metal Works LP.</t>
        </is>
      </c>
      <c r="C138" t="inlineStr">
        <is>
          <t>430</t>
        </is>
      </c>
      <c r="D138" t="inlineStr">
        <is>
          <t>42975000</t>
        </is>
      </c>
      <c r="E138" s="3" t="inlineStr">
        <is>
          <t>Tony McCorvey Sr.</t>
        </is>
      </c>
      <c r="F138" t="inlineStr">
        <is>
          <t>Family</t>
        </is>
      </c>
      <c r="G138" t="inlineStr">
        <is>
          <t>No</t>
        </is>
      </c>
      <c r="H138" t="inlineStr">
        <is>
          <t>Average</t>
        </is>
      </c>
      <c r="I138" t="inlineStr">
        <is>
          <t>construction</t>
        </is>
      </c>
      <c r="J138" t="inlineStr">
        <is>
          <t>Houston</t>
        </is>
      </c>
      <c r="K138" t="inlineStr">
        <is>
          <t>Texas</t>
        </is>
      </c>
      <c r="L138" t="inlineStr">
        <is>
          <t>http://www.mccorvey.com</t>
        </is>
      </c>
      <c r="M138" t="inlineStr">
        <is>
          <t>http://www.linkedin.com/company/mccorvey-sheet-metal-works-lp</t>
        </is>
      </c>
      <c r="N138" t="inlineStr">
        <is>
          <t>1925</t>
        </is>
      </c>
    </row>
    <row r="139">
      <c r="A139" t="inlineStr">
        <is>
          <t>Tier 1 - Strong Fit</t>
        </is>
      </c>
      <c r="B139" t="inlineStr">
        <is>
          <t>Hi-Line Inc.</t>
        </is>
      </c>
      <c r="C139" t="inlineStr">
        <is>
          <t>410</t>
        </is>
      </c>
      <c r="D139" t="inlineStr">
        <is>
          <t>24072000</t>
        </is>
      </c>
      <c r="E139" s="3" t="inlineStr">
        <is>
          <t>Not found</t>
        </is>
      </c>
      <c r="F139" t="inlineStr">
        <is>
          <t>Family</t>
        </is>
      </c>
      <c r="G139" t="inlineStr">
        <is>
          <t>No</t>
        </is>
      </c>
      <c r="H139" t="inlineStr">
        <is>
          <t>Average</t>
        </is>
      </c>
      <c r="I139" t="inlineStr">
        <is>
          <t>facilities services</t>
        </is>
      </c>
      <c r="J139" t="inlineStr">
        <is>
          <t>Farmers Branch</t>
        </is>
      </c>
      <c r="K139" t="inlineStr">
        <is>
          <t>Texas</t>
        </is>
      </c>
      <c r="L139" t="inlineStr">
        <is>
          <t>http://www.hi-line.com</t>
        </is>
      </c>
      <c r="M139" t="inlineStr">
        <is>
          <t>http://www.linkedin.com/company/hi-line</t>
        </is>
      </c>
      <c r="N139" t="inlineStr">
        <is>
          <t>1959</t>
        </is>
      </c>
    </row>
    <row r="140">
      <c r="A140" t="inlineStr">
        <is>
          <t>Tier 1 - Strong Fit</t>
        </is>
      </c>
      <c r="B140" t="inlineStr">
        <is>
          <t>SUPREME ROOFING</t>
        </is>
      </c>
      <c r="C140" t="inlineStr">
        <is>
          <t>330</t>
        </is>
      </c>
      <c r="D140" t="inlineStr">
        <is>
          <t>27000000</t>
        </is>
      </c>
      <c r="E140" s="3" t="inlineStr">
        <is>
          <t>Tim Rainey</t>
        </is>
      </c>
      <c r="F140" t="inlineStr">
        <is>
          <t>Self</t>
        </is>
      </c>
      <c r="G140" t="inlineStr">
        <is>
          <t>No</t>
        </is>
      </c>
      <c r="H140" t="inlineStr">
        <is>
          <t>Average</t>
        </is>
      </c>
      <c r="I140" t="inlineStr">
        <is>
          <t>facilities services</t>
        </is>
      </c>
      <c r="J140" t="inlineStr">
        <is>
          <t>Dallas</t>
        </is>
      </c>
      <c r="K140" t="inlineStr">
        <is>
          <t>Texas</t>
        </is>
      </c>
      <c r="L140" t="inlineStr">
        <is>
          <t>http://www.supremeroofing.com</t>
        </is>
      </c>
      <c r="M140" t="inlineStr">
        <is>
          <t>http://www.linkedin.com/company/supreme-roofing-systems</t>
        </is>
      </c>
      <c r="N140" t="inlineStr">
        <is>
          <t>1987</t>
        </is>
      </c>
    </row>
    <row r="141">
      <c r="A141" t="inlineStr">
        <is>
          <t>Tier 1 - Strong Fit</t>
        </is>
      </c>
      <c r="B141" t="inlineStr">
        <is>
          <t>TechCorr USA, LLC</t>
        </is>
      </c>
      <c r="C141" t="inlineStr">
        <is>
          <t>320</t>
        </is>
      </c>
      <c r="D141" t="inlineStr">
        <is>
          <t>19058000</t>
        </is>
      </c>
      <c r="E141" s="3" t="inlineStr">
        <is>
          <t>Joe Summa</t>
        </is>
      </c>
      <c r="F141" t="inlineStr">
        <is>
          <t>Self</t>
        </is>
      </c>
      <c r="G141" t="inlineStr">
        <is>
          <t>No</t>
        </is>
      </c>
      <c r="H141" t="inlineStr">
        <is>
          <t>Average</t>
        </is>
      </c>
      <c r="I141" t="inlineStr">
        <is>
          <t>oil &amp; energy</t>
        </is>
      </c>
      <c r="J141" t="inlineStr">
        <is>
          <t>Pasadena</t>
        </is>
      </c>
      <c r="K141" t="inlineStr">
        <is>
          <t>Texas</t>
        </is>
      </c>
      <c r="L141" t="inlineStr">
        <is>
          <t>http://www.techcorr.com</t>
        </is>
      </c>
      <c r="M141" t="inlineStr">
        <is>
          <t>http://www.linkedin.com/company/techcorrusa</t>
        </is>
      </c>
      <c r="N141" t="inlineStr">
        <is>
          <t>2003</t>
        </is>
      </c>
    </row>
    <row r="142">
      <c r="A142" t="inlineStr">
        <is>
          <t>Tier 1 - Strong Fit</t>
        </is>
      </c>
      <c r="B142" t="inlineStr">
        <is>
          <t>AIV L.P.</t>
        </is>
      </c>
      <c r="C142" t="inlineStr">
        <is>
          <t>300</t>
        </is>
      </c>
      <c r="D142" t="inlineStr">
        <is>
          <t>50000000</t>
        </is>
      </c>
      <c r="E142" s="3" t="inlineStr">
        <is>
          <t>Not found</t>
        </is>
      </c>
      <c r="F142" t="inlineStr">
        <is>
          <t>Self</t>
        </is>
      </c>
      <c r="G142" t="inlineStr">
        <is>
          <t>No</t>
        </is>
      </c>
      <c r="H142" t="inlineStr">
        <is>
          <t>Average</t>
        </is>
      </c>
      <c r="I142" t="inlineStr">
        <is>
          <t>oil &amp; energy</t>
        </is>
      </c>
      <c r="J142" t="inlineStr">
        <is>
          <t>Houston</t>
        </is>
      </c>
      <c r="K142" t="inlineStr">
        <is>
          <t>Texas</t>
        </is>
      </c>
      <c r="L142" t="inlineStr">
        <is>
          <t>http://www.aivinc.com</t>
        </is>
      </c>
      <c r="M142" t="inlineStr">
        <is>
          <t>http://www.linkedin.com/company/aiv-l.p.</t>
        </is>
      </c>
      <c r="N142" t="inlineStr">
        <is>
          <t>1991</t>
        </is>
      </c>
    </row>
    <row r="143">
      <c r="A143" t="inlineStr">
        <is>
          <t>Tier 1 - Strong Fit</t>
        </is>
      </c>
      <c r="B143" t="inlineStr">
        <is>
          <t>Century A/C Supply</t>
        </is>
      </c>
      <c r="C143" t="inlineStr">
        <is>
          <t>260</t>
        </is>
      </c>
      <c r="D143" t="inlineStr">
        <is>
          <t>15200000</t>
        </is>
      </c>
      <c r="E143" s="3" t="inlineStr">
        <is>
          <t>Ken Schreiber</t>
        </is>
      </c>
      <c r="F143" t="inlineStr">
        <is>
          <t>Self</t>
        </is>
      </c>
      <c r="G143" t="inlineStr">
        <is>
          <t>No</t>
        </is>
      </c>
      <c r="H143" t="inlineStr">
        <is>
          <t>Average</t>
        </is>
      </c>
      <c r="I143" t="inlineStr">
        <is>
          <t>wholesale</t>
        </is>
      </c>
      <c r="J143" t="inlineStr">
        <is>
          <t>Houston</t>
        </is>
      </c>
      <c r="K143" t="inlineStr">
        <is>
          <t>Texas</t>
        </is>
      </c>
      <c r="L143" t="inlineStr">
        <is>
          <t>http://www.centuryac.com</t>
        </is>
      </c>
      <c r="M143" t="inlineStr">
        <is>
          <t>http://www.linkedin.com/company/centuryac</t>
        </is>
      </c>
      <c r="N143" t="inlineStr">
        <is>
          <t>1973</t>
        </is>
      </c>
    </row>
    <row r="144">
      <c r="A144" t="inlineStr">
        <is>
          <t>Tier 1 - Strong Fit</t>
        </is>
      </c>
      <c r="B144" t="inlineStr">
        <is>
          <t>Moore Control Systems, Inc</t>
        </is>
      </c>
      <c r="C144" t="inlineStr">
        <is>
          <t>250</t>
        </is>
      </c>
      <c r="D144" t="inlineStr">
        <is>
          <t>25873000</t>
        </is>
      </c>
      <c r="E144" s="2">
        <f>HYPERLINK("https://www.linkedin.com/in/jae-moore-63686118a","Jae Moore")</f>
        <v/>
      </c>
      <c r="F144" t="inlineStr">
        <is>
          <t>Self</t>
        </is>
      </c>
      <c r="G144" t="inlineStr">
        <is>
          <t>No</t>
        </is>
      </c>
      <c r="H144" t="inlineStr">
        <is>
          <t>Average</t>
        </is>
      </c>
      <c r="I144" t="inlineStr">
        <is>
          <t>oil &amp; energy</t>
        </is>
      </c>
      <c r="J144" t="inlineStr">
        <is>
          <t>Katy</t>
        </is>
      </c>
      <c r="K144" t="inlineStr">
        <is>
          <t>Texas</t>
        </is>
      </c>
      <c r="L144" t="inlineStr">
        <is>
          <t>http://www.moore-control.com</t>
        </is>
      </c>
      <c r="M144" t="inlineStr">
        <is>
          <t>http://www.linkedin.com/company/moore-control-systems-inc</t>
        </is>
      </c>
      <c r="N144" t="inlineStr">
        <is>
          <t>1981</t>
        </is>
      </c>
    </row>
    <row r="145">
      <c r="A145" t="inlineStr">
        <is>
          <t>Tier 1 - Strong Fit</t>
        </is>
      </c>
      <c r="B145" t="inlineStr">
        <is>
          <t>Cenergistic</t>
        </is>
      </c>
      <c r="C145" t="inlineStr">
        <is>
          <t>230</t>
        </is>
      </c>
      <c r="D145" t="inlineStr">
        <is>
          <t>31000000</t>
        </is>
      </c>
      <c r="E145" s="3" t="inlineStr">
        <is>
          <t>Dale Petroskey</t>
        </is>
      </c>
      <c r="F145" t="inlineStr">
        <is>
          <t>Self</t>
        </is>
      </c>
      <c r="G145" t="inlineStr">
        <is>
          <t>No</t>
        </is>
      </c>
      <c r="H145" t="inlineStr">
        <is>
          <t>Good</t>
        </is>
      </c>
      <c r="I145" t="inlineStr">
        <is>
          <t>environmental services</t>
        </is>
      </c>
      <c r="J145" t="inlineStr">
        <is>
          <t>Dallas</t>
        </is>
      </c>
      <c r="K145" t="inlineStr">
        <is>
          <t>Texas</t>
        </is>
      </c>
      <c r="L145" t="inlineStr">
        <is>
          <t>http://www.cenergistic.com</t>
        </is>
      </c>
      <c r="M145" t="inlineStr">
        <is>
          <t>http://www.linkedin.com/company/cenergistic</t>
        </is>
      </c>
      <c r="N145" t="inlineStr">
        <is>
          <t>1986</t>
        </is>
      </c>
    </row>
    <row r="146">
      <c r="A146" t="inlineStr">
        <is>
          <t>Tier 1 - Strong Fit</t>
        </is>
      </c>
      <c r="B146" t="inlineStr">
        <is>
          <t>Howard Supply Company</t>
        </is>
      </c>
      <c r="C146" t="inlineStr">
        <is>
          <t>230</t>
        </is>
      </c>
      <c r="D146" t="inlineStr">
        <is>
          <t>24491000</t>
        </is>
      </c>
      <c r="E146" s="2">
        <f>HYPERLINK("https://www.linkedin.com/in/pauljohnjeffries","Paul Jeffries")</f>
        <v/>
      </c>
      <c r="F146" t="inlineStr">
        <is>
          <t>Self</t>
        </is>
      </c>
      <c r="G146" t="inlineStr">
        <is>
          <t>No</t>
        </is>
      </c>
      <c r="H146" t="inlineStr">
        <is>
          <t>Average</t>
        </is>
      </c>
      <c r="I146" t="inlineStr">
        <is>
          <t>oil &amp; energy</t>
        </is>
      </c>
      <c r="J146" t="inlineStr">
        <is>
          <t>Fort Worth</t>
        </is>
      </c>
      <c r="K146" t="inlineStr">
        <is>
          <t>Texas</t>
        </is>
      </c>
      <c r="L146" t="inlineStr">
        <is>
          <t>http://www.howard-supply.com</t>
        </is>
      </c>
      <c r="M146" t="inlineStr">
        <is>
          <t>http://www.linkedin.com/company/howard-supply-company</t>
        </is>
      </c>
      <c r="N146" t="inlineStr">
        <is>
          <t>1937</t>
        </is>
      </c>
    </row>
    <row r="147">
      <c r="A147" t="inlineStr">
        <is>
          <t>Tier 1 - Strong Fit</t>
        </is>
      </c>
      <c r="B147" t="inlineStr">
        <is>
          <t>VRC Investigations</t>
        </is>
      </c>
      <c r="C147" t="inlineStr">
        <is>
          <t>230</t>
        </is>
      </c>
      <c r="D147" t="inlineStr">
        <is>
          <t>22300000</t>
        </is>
      </c>
      <c r="E147" s="3" t="inlineStr">
        <is>
          <t>Greg James</t>
        </is>
      </c>
      <c r="F147" t="inlineStr">
        <is>
          <t>Small PE</t>
        </is>
      </c>
      <c r="G147" t="inlineStr">
        <is>
          <t>No</t>
        </is>
      </c>
      <c r="H147" t="inlineStr">
        <is>
          <t>Average</t>
        </is>
      </c>
      <c r="I147" t="inlineStr">
        <is>
          <t>security &amp; investigations</t>
        </is>
      </c>
      <c r="J147" t="inlineStr">
        <is>
          <t>Dallas</t>
        </is>
      </c>
      <c r="K147" t="inlineStr">
        <is>
          <t>Texas</t>
        </is>
      </c>
      <c r="L147" t="inlineStr">
        <is>
          <t>http://www.vrcinvestigations.com</t>
        </is>
      </c>
      <c r="M147" t="inlineStr">
        <is>
          <t>http://www.linkedin.com/company/vrcinvestigations</t>
        </is>
      </c>
      <c r="N147" t="inlineStr">
        <is>
          <t>1995</t>
        </is>
      </c>
    </row>
    <row r="148">
      <c r="A148" t="inlineStr">
        <is>
          <t>Tier 1 - Strong Fit</t>
        </is>
      </c>
      <c r="B148" t="inlineStr">
        <is>
          <t>Aperture LLC</t>
        </is>
      </c>
      <c r="C148" t="inlineStr">
        <is>
          <t>230</t>
        </is>
      </c>
      <c r="D148" t="inlineStr">
        <is>
          <t>21700000</t>
        </is>
      </c>
      <c r="E148" s="3" t="inlineStr">
        <is>
          <t>Robert Joyce Jr.</t>
        </is>
      </c>
      <c r="F148" t="inlineStr">
        <is>
          <t>Small PE</t>
        </is>
      </c>
      <c r="G148" t="inlineStr">
        <is>
          <t>No</t>
        </is>
      </c>
      <c r="H148" t="inlineStr">
        <is>
          <t>Good</t>
        </is>
      </c>
      <c r="I148" t="inlineStr">
        <is>
          <t>legal services</t>
        </is>
      </c>
      <c r="J148" t="inlineStr">
        <is>
          <t>Arlington</t>
        </is>
      </c>
      <c r="K148" t="inlineStr">
        <is>
          <t>Texas</t>
        </is>
      </c>
      <c r="L148" t="inlineStr">
        <is>
          <t>http://www.aperturellc.com</t>
        </is>
      </c>
      <c r="M148" t="inlineStr">
        <is>
          <t>http://www.linkedin.com/company/aperturellc</t>
        </is>
      </c>
      <c r="N148" t="inlineStr">
        <is>
          <t>2019</t>
        </is>
      </c>
    </row>
    <row r="149">
      <c r="A149" t="inlineStr">
        <is>
          <t>Tier 1 - Strong Fit</t>
        </is>
      </c>
      <c r="B149" t="inlineStr">
        <is>
          <t>Anew Climate</t>
        </is>
      </c>
      <c r="C149" t="inlineStr">
        <is>
          <t>230</t>
        </is>
      </c>
      <c r="D149" t="inlineStr">
        <is>
          <t>27000000</t>
        </is>
      </c>
      <c r="E149" s="3" t="inlineStr">
        <is>
          <t>Angela Schwarz</t>
        </is>
      </c>
      <c r="F149" t="inlineStr">
        <is>
          <t>Big PE</t>
        </is>
      </c>
      <c r="G149" t="inlineStr">
        <is>
          <t>No</t>
        </is>
      </c>
      <c r="H149" t="inlineStr">
        <is>
          <t>Good</t>
        </is>
      </c>
      <c r="I149" t="inlineStr">
        <is>
          <t>environmental services</t>
        </is>
      </c>
      <c r="J149" t="inlineStr">
        <is>
          <t>Houston</t>
        </is>
      </c>
      <c r="K149" t="inlineStr">
        <is>
          <t>Texas</t>
        </is>
      </c>
      <c r="L149" t="inlineStr">
        <is>
          <t>http://www.anewclimate.com</t>
        </is>
      </c>
      <c r="M149" t="inlineStr">
        <is>
          <t>http://www.linkedin.com/company/anewclimate</t>
        </is>
      </c>
      <c r="N149" t="inlineStr">
        <is>
          <t>2001</t>
        </is>
      </c>
    </row>
    <row r="150">
      <c r="A150" t="inlineStr">
        <is>
          <t>Tier 1 - Strong Fit</t>
        </is>
      </c>
      <c r="B150" t="inlineStr">
        <is>
          <t>MLN Company</t>
        </is>
      </c>
      <c r="C150" t="inlineStr">
        <is>
          <t>220</t>
        </is>
      </c>
      <c r="D150" t="inlineStr">
        <is>
          <t>24732000</t>
        </is>
      </c>
      <c r="E150" s="3" t="inlineStr">
        <is>
          <t>Murray Neal</t>
        </is>
      </c>
      <c r="F150" t="inlineStr">
        <is>
          <t>Self</t>
        </is>
      </c>
      <c r="G150" t="inlineStr">
        <is>
          <t>No</t>
        </is>
      </c>
      <c r="H150" t="inlineStr">
        <is>
          <t>Average</t>
        </is>
      </c>
      <c r="I150" t="inlineStr">
        <is>
          <t>construction</t>
        </is>
      </c>
      <c r="J150" t="inlineStr">
        <is>
          <t>Stafford</t>
        </is>
      </c>
      <c r="K150" t="inlineStr">
        <is>
          <t>Texas</t>
        </is>
      </c>
      <c r="L150" t="inlineStr">
        <is>
          <t>http://www.mlncompany.com</t>
        </is>
      </c>
      <c r="M150" t="inlineStr">
        <is>
          <t>http://www.linkedin.com/company/the-mln-company</t>
        </is>
      </c>
      <c r="N150" t="inlineStr">
        <is>
          <t>1988</t>
        </is>
      </c>
    </row>
    <row r="151">
      <c r="A151" t="inlineStr">
        <is>
          <t>Tier 1 - Strong Fit</t>
        </is>
      </c>
      <c r="B151" t="inlineStr">
        <is>
          <t>Jomar Electrical Contractors</t>
        </is>
      </c>
      <c r="C151" t="inlineStr">
        <is>
          <t>220</t>
        </is>
      </c>
      <c r="D151" t="inlineStr">
        <is>
          <t>41839000</t>
        </is>
      </c>
      <c r="E151" s="2">
        <f>HYPERLINK("https://www.linkedin.com/in/mark-lapaglia-a192b044","Mark Lapaglia")</f>
        <v/>
      </c>
      <c r="F151" t="inlineStr">
        <is>
          <t>Family</t>
        </is>
      </c>
      <c r="G151" t="inlineStr">
        <is>
          <t>No</t>
        </is>
      </c>
      <c r="H151" t="inlineStr">
        <is>
          <t>Average</t>
        </is>
      </c>
      <c r="I151" t="inlineStr">
        <is>
          <t>construction</t>
        </is>
      </c>
      <c r="J151" t="inlineStr">
        <is>
          <t>Houston</t>
        </is>
      </c>
      <c r="K151" t="inlineStr">
        <is>
          <t>Texas</t>
        </is>
      </c>
      <c r="L151" t="inlineStr">
        <is>
          <t>http://www.jomarinc.com</t>
        </is>
      </c>
      <c r="M151" t="inlineStr">
        <is>
          <t>http://www.linkedin.com/company/jomar-electrical-contractors</t>
        </is>
      </c>
      <c r="N151" t="inlineStr">
        <is>
          <t>1994</t>
        </is>
      </c>
    </row>
    <row r="152">
      <c r="A152" t="inlineStr">
        <is>
          <t>Tier 1 - Strong Fit</t>
        </is>
      </c>
      <c r="B152" t="inlineStr">
        <is>
          <t>Quality Assurance Management, Inc.</t>
        </is>
      </c>
      <c r="C152" t="inlineStr">
        <is>
          <t>210</t>
        </is>
      </c>
      <c r="D152" t="inlineStr">
        <is>
          <t>30878000</t>
        </is>
      </c>
      <c r="E152" s="3" t="inlineStr">
        <is>
          <t>Not found</t>
        </is>
      </c>
      <c r="F152" t="inlineStr">
        <is>
          <t>Self</t>
        </is>
      </c>
      <c r="G152" t="inlineStr">
        <is>
          <t>No</t>
        </is>
      </c>
      <c r="H152" t="inlineStr">
        <is>
          <t>Average</t>
        </is>
      </c>
      <c r="I152" t="inlineStr">
        <is>
          <t>construction</t>
        </is>
      </c>
      <c r="J152" t="inlineStr">
        <is>
          <t>Carrollton</t>
        </is>
      </c>
      <c r="K152" t="inlineStr">
        <is>
          <t>Texas</t>
        </is>
      </c>
      <c r="L152" t="inlineStr">
        <is>
          <t>http://www.qam.com</t>
        </is>
      </c>
      <c r="M152" t="inlineStr">
        <is>
          <t>http://www.linkedin.com/company/quality-assurance-management</t>
        </is>
      </c>
    </row>
    <row r="153">
      <c r="A153" t="inlineStr">
        <is>
          <t>Tier 1 - Strong Fit</t>
        </is>
      </c>
      <c r="B153" t="inlineStr">
        <is>
          <t>DCOMM</t>
        </is>
      </c>
      <c r="C153" t="inlineStr">
        <is>
          <t>210</t>
        </is>
      </c>
      <c r="D153" t="inlineStr">
        <is>
          <t>16146000</t>
        </is>
      </c>
      <c r="E153" s="2">
        <f>HYPERLINK("https://www.linkedin.com/in/hakan-baltaoglu-a1444267","Hakan Baltaoglu")</f>
        <v/>
      </c>
      <c r="F153" t="inlineStr">
        <is>
          <t>Self</t>
        </is>
      </c>
      <c r="G153" t="inlineStr">
        <is>
          <t>No</t>
        </is>
      </c>
      <c r="H153" t="inlineStr">
        <is>
          <t>Average</t>
        </is>
      </c>
      <c r="I153" t="inlineStr">
        <is>
          <t>telecommunications</t>
        </is>
      </c>
      <c r="J153" t="inlineStr">
        <is>
          <t>Austin</t>
        </is>
      </c>
      <c r="K153" t="inlineStr">
        <is>
          <t>Texas</t>
        </is>
      </c>
      <c r="L153" t="inlineStr">
        <is>
          <t>http://www.dcomm.com</t>
        </is>
      </c>
      <c r="M153" t="inlineStr">
        <is>
          <t>http://www.linkedin.com/company/dcomminc</t>
        </is>
      </c>
      <c r="N153" t="inlineStr">
        <is>
          <t>2005</t>
        </is>
      </c>
    </row>
    <row r="154">
      <c r="A154" t="inlineStr">
        <is>
          <t>Tier 1 - Strong Fit</t>
        </is>
      </c>
      <c r="B154" t="inlineStr">
        <is>
          <t>C12 Business Forums</t>
        </is>
      </c>
      <c r="C154" t="inlineStr">
        <is>
          <t>210</t>
        </is>
      </c>
      <c r="D154" t="inlineStr">
        <is>
          <t>22000000</t>
        </is>
      </c>
      <c r="E154" s="3" t="inlineStr">
        <is>
          <t>Not found</t>
        </is>
      </c>
      <c r="F154" t="inlineStr">
        <is>
          <t>Self</t>
        </is>
      </c>
      <c r="G154" t="inlineStr">
        <is>
          <t>No</t>
        </is>
      </c>
      <c r="H154" t="inlineStr">
        <is>
          <t>Average</t>
        </is>
      </c>
      <c r="I154" t="inlineStr">
        <is>
          <t>professional training &amp; coaching</t>
        </is>
      </c>
      <c r="J154" t="inlineStr">
        <is>
          <t>San Antonio</t>
        </is>
      </c>
      <c r="K154" t="inlineStr">
        <is>
          <t>Texas</t>
        </is>
      </c>
      <c r="L154" t="inlineStr">
        <is>
          <t>http://www.joinc12.com</t>
        </is>
      </c>
      <c r="M154" t="inlineStr">
        <is>
          <t>http://www.linkedin.com/company/c12-business-forums</t>
        </is>
      </c>
      <c r="N154" t="inlineStr">
        <is>
          <t>1992</t>
        </is>
      </c>
    </row>
    <row r="155">
      <c r="A155" t="inlineStr">
        <is>
          <t>Tier 1 - Strong Fit</t>
        </is>
      </c>
      <c r="B155" t="inlineStr">
        <is>
          <t>ICBS Inc, - Intercommercial Business Systems</t>
        </is>
      </c>
      <c r="C155" t="inlineStr">
        <is>
          <t>200</t>
        </is>
      </c>
      <c r="D155" t="inlineStr">
        <is>
          <t>33846000</t>
        </is>
      </c>
      <c r="E155" s="3" t="inlineStr">
        <is>
          <t>Not found</t>
        </is>
      </c>
      <c r="F155" t="inlineStr">
        <is>
          <t>Self</t>
        </is>
      </c>
      <c r="G155" t="inlineStr">
        <is>
          <t>No</t>
        </is>
      </c>
      <c r="H155" t="inlineStr">
        <is>
          <t>Average</t>
        </is>
      </c>
      <c r="I155" t="inlineStr">
        <is>
          <t>telecommunications</t>
        </is>
      </c>
      <c r="J155" t="inlineStr">
        <is>
          <t>Allen</t>
        </is>
      </c>
      <c r="K155" t="inlineStr">
        <is>
          <t>Texas</t>
        </is>
      </c>
      <c r="L155" t="inlineStr">
        <is>
          <t>http://www.icbsrepair.com</t>
        </is>
      </c>
      <c r="M155" t="inlineStr">
        <is>
          <t>http://www.linkedin.com/company/icbsrepair</t>
        </is>
      </c>
      <c r="N155" t="inlineStr">
        <is>
          <t>1989</t>
        </is>
      </c>
    </row>
    <row r="156">
      <c r="A156" t="inlineStr">
        <is>
          <t>Tier 1 - Strong Fit</t>
        </is>
      </c>
      <c r="B156" t="inlineStr">
        <is>
          <t>Intel 471</t>
        </is>
      </c>
      <c r="C156" t="inlineStr">
        <is>
          <t>190</t>
        </is>
      </c>
      <c r="D156" t="inlineStr">
        <is>
          <t>32300000</t>
        </is>
      </c>
      <c r="E156" s="3" t="inlineStr">
        <is>
          <t>Jason Passwaters</t>
        </is>
      </c>
      <c r="F156" t="inlineStr">
        <is>
          <t>Small PE</t>
        </is>
      </c>
      <c r="G156" t="inlineStr">
        <is>
          <t>No</t>
        </is>
      </c>
      <c r="H156" t="inlineStr">
        <is>
          <t>Good</t>
        </is>
      </c>
      <c r="I156" t="inlineStr">
        <is>
          <t>security &amp; investigations</t>
        </is>
      </c>
      <c r="J156" t="inlineStr">
        <is>
          <t>Frisco</t>
        </is>
      </c>
      <c r="K156" t="inlineStr">
        <is>
          <t>Texas</t>
        </is>
      </c>
      <c r="L156" t="inlineStr">
        <is>
          <t>http://www.intel471.com</t>
        </is>
      </c>
      <c r="M156" t="inlineStr">
        <is>
          <t>http://www.linkedin.com/company/intel-471</t>
        </is>
      </c>
      <c r="N156" t="inlineStr">
        <is>
          <t>2014</t>
        </is>
      </c>
    </row>
    <row r="157">
      <c r="A157" t="inlineStr">
        <is>
          <t>Tier 1 - Strong Fit</t>
        </is>
      </c>
      <c r="B157" t="inlineStr">
        <is>
          <t>Ameristar Screen and Glass</t>
        </is>
      </c>
      <c r="C157" t="inlineStr">
        <is>
          <t>180</t>
        </is>
      </c>
      <c r="D157" t="inlineStr">
        <is>
          <t>45142000</t>
        </is>
      </c>
      <c r="E157" s="3" t="inlineStr">
        <is>
          <t>Not found</t>
        </is>
      </c>
      <c r="F157" t="inlineStr">
        <is>
          <t>Self</t>
        </is>
      </c>
      <c r="G157" t="inlineStr">
        <is>
          <t>No</t>
        </is>
      </c>
      <c r="H157" t="inlineStr">
        <is>
          <t>Average</t>
        </is>
      </c>
      <c r="I157" t="inlineStr">
        <is>
          <t>construction</t>
        </is>
      </c>
      <c r="J157" t="inlineStr">
        <is>
          <t>Carrollton</t>
        </is>
      </c>
      <c r="K157" t="inlineStr">
        <is>
          <t>Texas</t>
        </is>
      </c>
      <c r="L157" t="inlineStr">
        <is>
          <t>http://www.ameristarglass.com</t>
        </is>
      </c>
      <c r="M157" t="inlineStr">
        <is>
          <t>http://www.linkedin.com/company/ameristar</t>
        </is>
      </c>
      <c r="N157" t="inlineStr">
        <is>
          <t>1989</t>
        </is>
      </c>
    </row>
    <row r="158">
      <c r="A158" t="inlineStr">
        <is>
          <t>Tier 1 - Strong Fit</t>
        </is>
      </c>
      <c r="B158" t="inlineStr">
        <is>
          <t>JD Martin Company</t>
        </is>
      </c>
      <c r="C158" t="inlineStr">
        <is>
          <t>170</t>
        </is>
      </c>
      <c r="D158" t="inlineStr">
        <is>
          <t>11778000</t>
        </is>
      </c>
      <c r="E158" s="3" t="inlineStr">
        <is>
          <t>Greg Baker</t>
        </is>
      </c>
      <c r="F158" t="inlineStr">
        <is>
          <t>Self</t>
        </is>
      </c>
      <c r="G158" t="inlineStr">
        <is>
          <t>No</t>
        </is>
      </c>
      <c r="H158" t="inlineStr">
        <is>
          <t>Average</t>
        </is>
      </c>
      <c r="I158" t="inlineStr">
        <is>
          <t>electrical/electronic manufacturing</t>
        </is>
      </c>
      <c r="J158" t="inlineStr">
        <is>
          <t>Dallas</t>
        </is>
      </c>
      <c r="K158" t="inlineStr">
        <is>
          <t>Texas</t>
        </is>
      </c>
      <c r="L158" t="inlineStr">
        <is>
          <t>http://www.jdmartin.com</t>
        </is>
      </c>
      <c r="M158" t="inlineStr">
        <is>
          <t>http://www.linkedin.com/company/jd-martin-company-inc-</t>
        </is>
      </c>
      <c r="N158" t="inlineStr">
        <is>
          <t>1954</t>
        </is>
      </c>
    </row>
    <row r="159">
      <c r="A159" t="inlineStr">
        <is>
          <t>Tier 1 - Strong Fit</t>
        </is>
      </c>
      <c r="B159" t="inlineStr">
        <is>
          <t>Engineered Air Balance</t>
        </is>
      </c>
      <c r="C159" t="inlineStr">
        <is>
          <t>170</t>
        </is>
      </c>
      <c r="D159" t="inlineStr">
        <is>
          <t>38600000</t>
        </is>
      </c>
      <c r="E159" s="3" t="inlineStr">
        <is>
          <t>Kevin Underwood</t>
        </is>
      </c>
      <c r="F159" t="inlineStr">
        <is>
          <t>Self</t>
        </is>
      </c>
      <c r="G159" t="inlineStr">
        <is>
          <t>No</t>
        </is>
      </c>
      <c r="H159" t="inlineStr">
        <is>
          <t>Average</t>
        </is>
      </c>
      <c r="I159" t="inlineStr">
        <is>
          <t>facilities services</t>
        </is>
      </c>
      <c r="J159" t="inlineStr">
        <is>
          <t>Richardson</t>
        </is>
      </c>
      <c r="K159" t="inlineStr">
        <is>
          <t>Texas</t>
        </is>
      </c>
      <c r="L159" t="inlineStr">
        <is>
          <t>http://www.eabcoinc.com</t>
        </is>
      </c>
      <c r="M159" t="inlineStr">
        <is>
          <t>http://www.linkedin.com/company/engineered-air-balance-co.-inc.</t>
        </is>
      </c>
      <c r="N159" t="inlineStr">
        <is>
          <t>1956</t>
        </is>
      </c>
    </row>
    <row r="160">
      <c r="A160" t="inlineStr">
        <is>
          <t>Tier 1 - Strong Fit</t>
        </is>
      </c>
      <c r="B160" t="inlineStr">
        <is>
          <t>Recovery Monitoring Solutions</t>
        </is>
      </c>
      <c r="C160" t="inlineStr">
        <is>
          <t>170</t>
        </is>
      </c>
      <c r="D160" t="inlineStr">
        <is>
          <t>29205000</t>
        </is>
      </c>
      <c r="E160" s="3" t="inlineStr">
        <is>
          <t>Not found</t>
        </is>
      </c>
      <c r="F160" t="inlineStr">
        <is>
          <t>Self</t>
        </is>
      </c>
      <c r="G160" t="inlineStr">
        <is>
          <t>No</t>
        </is>
      </c>
      <c r="H160" t="inlineStr">
        <is>
          <t>Average</t>
        </is>
      </c>
      <c r="I160" t="inlineStr">
        <is>
          <t>public safety</t>
        </is>
      </c>
      <c r="J160" t="inlineStr">
        <is>
          <t>Dallas</t>
        </is>
      </c>
      <c r="K160" t="inlineStr">
        <is>
          <t>Texas</t>
        </is>
      </c>
      <c r="L160" t="inlineStr">
        <is>
          <t>http://www.recoveryms.com</t>
        </is>
      </c>
      <c r="M160" t="inlineStr">
        <is>
          <t>http://www.linkedin.com/company/recoverymonitoringsolutions</t>
        </is>
      </c>
      <c r="N160" t="inlineStr">
        <is>
          <t>1993</t>
        </is>
      </c>
    </row>
    <row r="161">
      <c r="A161" t="inlineStr">
        <is>
          <t>Tier 1 - Strong Fit</t>
        </is>
      </c>
      <c r="B161" t="inlineStr">
        <is>
          <t>PurgeRite</t>
        </is>
      </c>
      <c r="C161" t="inlineStr">
        <is>
          <t>170</t>
        </is>
      </c>
      <c r="D161" t="inlineStr">
        <is>
          <t>27800000</t>
        </is>
      </c>
      <c r="E161" s="3" t="inlineStr">
        <is>
          <t>Not found</t>
        </is>
      </c>
      <c r="F161" t="inlineStr">
        <is>
          <t>Public</t>
        </is>
      </c>
      <c r="G161" t="inlineStr">
        <is>
          <t>No</t>
        </is>
      </c>
      <c r="H161" t="inlineStr">
        <is>
          <t>Average</t>
        </is>
      </c>
      <c r="I161" t="inlineStr">
        <is>
          <t>construction</t>
        </is>
      </c>
      <c r="J161" t="inlineStr">
        <is>
          <t>Willis</t>
        </is>
      </c>
      <c r="K161" t="inlineStr">
        <is>
          <t>Texas</t>
        </is>
      </c>
      <c r="L161" t="inlineStr">
        <is>
          <t>http://www.purgerite.com</t>
        </is>
      </c>
      <c r="M161" t="inlineStr">
        <is>
          <t>http://www.linkedin.com/company/purgerite</t>
        </is>
      </c>
      <c r="N161" t="inlineStr">
        <is>
          <t>2010</t>
        </is>
      </c>
    </row>
    <row r="162">
      <c r="A162" t="inlineStr">
        <is>
          <t>Tier 1 - Strong Fit</t>
        </is>
      </c>
      <c r="B162" t="inlineStr">
        <is>
          <t>Texcel</t>
        </is>
      </c>
      <c r="C162" t="inlineStr">
        <is>
          <t>160</t>
        </is>
      </c>
      <c r="D162" t="inlineStr">
        <is>
          <t>15500000</t>
        </is>
      </c>
      <c r="E162" s="3" t="inlineStr">
        <is>
          <t>Jake Walker</t>
        </is>
      </c>
      <c r="F162" t="inlineStr">
        <is>
          <t>Small PE</t>
        </is>
      </c>
      <c r="G162" t="inlineStr">
        <is>
          <t>No</t>
        </is>
      </c>
      <c r="H162" t="inlineStr">
        <is>
          <t>Average</t>
        </is>
      </c>
      <c r="I162" t="inlineStr">
        <is>
          <t>warehousing</t>
        </is>
      </c>
      <c r="J162" t="inlineStr">
        <is>
          <t>Houston</t>
        </is>
      </c>
      <c r="K162" t="inlineStr">
        <is>
          <t>Texas</t>
        </is>
      </c>
      <c r="L162" t="inlineStr">
        <is>
          <t>http://www.texcelrubber.com</t>
        </is>
      </c>
      <c r="M162" t="inlineStr">
        <is>
          <t>http://www.linkedin.com/company/texcel</t>
        </is>
      </c>
      <c r="N162" t="inlineStr">
        <is>
          <t>1981</t>
        </is>
      </c>
    </row>
    <row r="163">
      <c r="A163" t="inlineStr">
        <is>
          <t>Tier 1 - Strong Fit</t>
        </is>
      </c>
      <c r="B163" t="inlineStr">
        <is>
          <t>Casualty Actuarial Society</t>
        </is>
      </c>
      <c r="C163" t="inlineStr">
        <is>
          <t>150</t>
        </is>
      </c>
      <c r="D163" t="inlineStr">
        <is>
          <t>22281000</t>
        </is>
      </c>
      <c r="E163" s="3" t="inlineStr">
        <is>
          <t>Not found</t>
        </is>
      </c>
      <c r="F163" t="inlineStr">
        <is>
          <t>Nonprofit</t>
        </is>
      </c>
      <c r="G163" t="inlineStr">
        <is>
          <t>No</t>
        </is>
      </c>
      <c r="H163" t="inlineStr">
        <is>
          <t>Good</t>
        </is>
      </c>
      <c r="I163" t="inlineStr">
        <is>
          <t>nonprofit organization management</t>
        </is>
      </c>
      <c r="J163" t="inlineStr">
        <is>
          <t>Arlington</t>
        </is>
      </c>
      <c r="K163" t="inlineStr">
        <is>
          <t>Texas</t>
        </is>
      </c>
      <c r="L163" t="inlineStr">
        <is>
          <t>http://www.casact.org</t>
        </is>
      </c>
      <c r="M163" t="inlineStr">
        <is>
          <t>http://www.linkedin.com/company/casualty-actuarial-society</t>
        </is>
      </c>
      <c r="N163" t="inlineStr">
        <is>
          <t>1914</t>
        </is>
      </c>
    </row>
    <row r="164">
      <c r="A164" t="inlineStr">
        <is>
          <t>Tier 1 - Strong Fit</t>
        </is>
      </c>
      <c r="B164" t="inlineStr">
        <is>
          <t>TechTrans International, Inc.</t>
        </is>
      </c>
      <c r="C164" t="inlineStr">
        <is>
          <t>150</t>
        </is>
      </c>
      <c r="D164" t="inlineStr">
        <is>
          <t>17563000</t>
        </is>
      </c>
      <c r="E164" s="2">
        <f>HYPERLINK("https://www.linkedin.com/in/beth-williams-2a1a76a","Beth Williams")</f>
        <v/>
      </c>
      <c r="F164" t="inlineStr">
        <is>
          <t>Self</t>
        </is>
      </c>
      <c r="G164" t="inlineStr">
        <is>
          <t>No</t>
        </is>
      </c>
      <c r="H164" t="inlineStr">
        <is>
          <t>Average</t>
        </is>
      </c>
      <c r="I164" t="inlineStr">
        <is>
          <t>translation &amp; localization</t>
        </is>
      </c>
      <c r="J164" t="inlineStr">
        <is>
          <t>Houston</t>
        </is>
      </c>
      <c r="K164" t="inlineStr">
        <is>
          <t>Texas</t>
        </is>
      </c>
      <c r="L164" t="inlineStr">
        <is>
          <t>http://www.tti-corp.com</t>
        </is>
      </c>
      <c r="M164" t="inlineStr">
        <is>
          <t>http://www.linkedin.com/company/techtrans-international-inc.</t>
        </is>
      </c>
      <c r="N164" t="inlineStr">
        <is>
          <t>1993</t>
        </is>
      </c>
    </row>
    <row r="165">
      <c r="A165" t="inlineStr">
        <is>
          <t>Tier 1 - Strong Fit</t>
        </is>
      </c>
      <c r="B165" t="inlineStr">
        <is>
          <t>Aegeus Inspection Solutions</t>
        </is>
      </c>
      <c r="C165" t="inlineStr">
        <is>
          <t>150</t>
        </is>
      </c>
      <c r="D165" t="inlineStr">
        <is>
          <t>31800000</t>
        </is>
      </c>
      <c r="E165" s="3" t="inlineStr">
        <is>
          <t>Not found</t>
        </is>
      </c>
      <c r="F165" t="inlineStr">
        <is>
          <t>Self</t>
        </is>
      </c>
      <c r="G165" t="inlineStr">
        <is>
          <t>No</t>
        </is>
      </c>
      <c r="H165" t="inlineStr">
        <is>
          <t>Average</t>
        </is>
      </c>
      <c r="I165" t="inlineStr">
        <is>
          <t>oil &amp; energy</t>
        </is>
      </c>
      <c r="J165" t="inlineStr">
        <is>
          <t>Houston</t>
        </is>
      </c>
      <c r="K165" t="inlineStr">
        <is>
          <t>Texas</t>
        </is>
      </c>
      <c r="L165" t="inlineStr">
        <is>
          <t>http://www.aegeusinspections.com</t>
        </is>
      </c>
      <c r="M165" t="inlineStr">
        <is>
          <t>http://www.linkedin.com/company/aegeus-inspection-solutions</t>
        </is>
      </c>
      <c r="N165" t="inlineStr">
        <is>
          <t>1937</t>
        </is>
      </c>
    </row>
    <row r="166">
      <c r="A166" t="inlineStr">
        <is>
          <t>Tier 1 - Strong Fit</t>
        </is>
      </c>
      <c r="B166" t="inlineStr">
        <is>
          <t>Marks Plumbing Parts</t>
        </is>
      </c>
      <c r="C166" t="inlineStr">
        <is>
          <t>150</t>
        </is>
      </c>
      <c r="D166" t="inlineStr">
        <is>
          <t>35000000</t>
        </is>
      </c>
      <c r="E166" s="3" t="inlineStr">
        <is>
          <t>Frank O'Connell</t>
        </is>
      </c>
      <c r="F166" t="inlineStr">
        <is>
          <t>Self</t>
        </is>
      </c>
      <c r="G166" t="inlineStr">
        <is>
          <t>No</t>
        </is>
      </c>
      <c r="H166" t="inlineStr">
        <is>
          <t>Average</t>
        </is>
      </c>
      <c r="I166" t="inlineStr">
        <is>
          <t>wholesale</t>
        </is>
      </c>
      <c r="J166" t="inlineStr">
        <is>
          <t>Fort Worth</t>
        </is>
      </c>
      <c r="K166" t="inlineStr">
        <is>
          <t>Texas</t>
        </is>
      </c>
      <c r="L166" t="inlineStr">
        <is>
          <t>http://www.markspp.com</t>
        </is>
      </c>
      <c r="M166" t="inlineStr">
        <is>
          <t>http://www.linkedin.com/company/mark's</t>
        </is>
      </c>
      <c r="N166" t="inlineStr">
        <is>
          <t>1980</t>
        </is>
      </c>
    </row>
    <row r="167">
      <c r="A167" t="inlineStr">
        <is>
          <t>Tier 1 - Strong Fit</t>
        </is>
      </c>
      <c r="B167" t="inlineStr">
        <is>
          <t>Wilson Fire Equipment &amp; Service Co., Inc.</t>
        </is>
      </c>
      <c r="C167" t="inlineStr">
        <is>
          <t>150</t>
        </is>
      </c>
      <c r="D167" t="inlineStr">
        <is>
          <t>26398000</t>
        </is>
      </c>
      <c r="E167" s="3" t="inlineStr">
        <is>
          <t>Not found</t>
        </is>
      </c>
      <c r="F167" t="inlineStr">
        <is>
          <t>Family</t>
        </is>
      </c>
      <c r="G167" t="inlineStr">
        <is>
          <t>No</t>
        </is>
      </c>
      <c r="H167" t="inlineStr">
        <is>
          <t>Average</t>
        </is>
      </c>
      <c r="I167" t="inlineStr">
        <is>
          <t>construction</t>
        </is>
      </c>
      <c r="J167" t="inlineStr">
        <is>
          <t>Houston</t>
        </is>
      </c>
      <c r="K167" t="inlineStr">
        <is>
          <t>Texas</t>
        </is>
      </c>
      <c r="L167" t="inlineStr">
        <is>
          <t>http://www.wilsonfire.com</t>
        </is>
      </c>
      <c r="M167" t="inlineStr">
        <is>
          <t>http://www.linkedin.com/company/wilsonfire</t>
        </is>
      </c>
      <c r="N167" t="inlineStr">
        <is>
          <t>1916</t>
        </is>
      </c>
    </row>
    <row r="168">
      <c r="A168" t="inlineStr">
        <is>
          <t>Tier 1 - Strong Fit</t>
        </is>
      </c>
      <c r="B168" t="inlineStr">
        <is>
          <t>Ensolum, LLC</t>
        </is>
      </c>
      <c r="C168" t="inlineStr">
        <is>
          <t>150</t>
        </is>
      </c>
      <c r="D168" t="inlineStr">
        <is>
          <t>28600000</t>
        </is>
      </c>
      <c r="E168" s="3" t="inlineStr">
        <is>
          <t>Not found</t>
        </is>
      </c>
      <c r="F168" t="inlineStr">
        <is>
          <t>Self</t>
        </is>
      </c>
      <c r="G168" t="inlineStr">
        <is>
          <t>No</t>
        </is>
      </c>
      <c r="H168" t="inlineStr">
        <is>
          <t>Average</t>
        </is>
      </c>
      <c r="I168" t="inlineStr">
        <is>
          <t>environmental services</t>
        </is>
      </c>
      <c r="J168" t="inlineStr">
        <is>
          <t>Dallas</t>
        </is>
      </c>
      <c r="K168" t="inlineStr">
        <is>
          <t>Texas</t>
        </is>
      </c>
      <c r="L168" t="inlineStr">
        <is>
          <t>http://www.ensolum.com</t>
        </is>
      </c>
      <c r="M168" t="inlineStr">
        <is>
          <t>http://www.linkedin.com/company/ensolum-llc</t>
        </is>
      </c>
      <c r="N168" t="inlineStr">
        <is>
          <t>2018</t>
        </is>
      </c>
    </row>
    <row r="169">
      <c r="A169" t="inlineStr">
        <is>
          <t>Tier 1 - Strong Fit</t>
        </is>
      </c>
      <c r="B169" t="inlineStr">
        <is>
          <t>Stonebridge Consulting</t>
        </is>
      </c>
      <c r="C169" t="inlineStr">
        <is>
          <t>140</t>
        </is>
      </c>
      <c r="D169" t="inlineStr">
        <is>
          <t>25000000</t>
        </is>
      </c>
      <c r="E169" s="3" t="inlineStr">
        <is>
          <t>Adam Hutchinson</t>
        </is>
      </c>
      <c r="F169" t="inlineStr">
        <is>
          <t>Self</t>
        </is>
      </c>
      <c r="G169" t="inlineStr">
        <is>
          <t>No</t>
        </is>
      </c>
      <c r="H169" t="inlineStr">
        <is>
          <t>Good</t>
        </is>
      </c>
      <c r="I169" t="inlineStr">
        <is>
          <t>oil &amp; energy</t>
        </is>
      </c>
      <c r="J169" t="inlineStr">
        <is>
          <t>Houston</t>
        </is>
      </c>
      <c r="K169" t="inlineStr">
        <is>
          <t>Texas</t>
        </is>
      </c>
      <c r="L169" t="inlineStr">
        <is>
          <t>http://www.sbconsulting.com</t>
        </is>
      </c>
      <c r="M169" t="inlineStr">
        <is>
          <t>http://www.linkedin.com/company/stonebridge</t>
        </is>
      </c>
      <c r="N169" t="inlineStr">
        <is>
          <t>2002</t>
        </is>
      </c>
    </row>
    <row r="170">
      <c r="A170" t="inlineStr">
        <is>
          <t>Tier 1 - Strong Fit</t>
        </is>
      </c>
      <c r="B170" t="inlineStr">
        <is>
          <t>Think Environmental</t>
        </is>
      </c>
      <c r="C170" t="inlineStr">
        <is>
          <t>140</t>
        </is>
      </c>
      <c r="D170" t="inlineStr">
        <is>
          <t>32800000</t>
        </is>
      </c>
      <c r="E170" s="3" t="inlineStr">
        <is>
          <t>Not found</t>
        </is>
      </c>
      <c r="F170" t="inlineStr">
        <is>
          <t>Self</t>
        </is>
      </c>
      <c r="G170" t="inlineStr">
        <is>
          <t>No</t>
        </is>
      </c>
      <c r="H170" t="inlineStr">
        <is>
          <t>Average</t>
        </is>
      </c>
      <c r="I170" t="inlineStr">
        <is>
          <t>environmental services</t>
        </is>
      </c>
      <c r="J170" t="inlineStr">
        <is>
          <t>Houston</t>
        </is>
      </c>
      <c r="K170" t="inlineStr">
        <is>
          <t>Texas</t>
        </is>
      </c>
      <c r="L170" t="inlineStr">
        <is>
          <t>http://www.thinkenvironmental.com</t>
        </is>
      </c>
      <c r="M170" t="inlineStr">
        <is>
          <t>http://www.linkedin.com/company/iprems</t>
        </is>
      </c>
      <c r="N170" t="inlineStr">
        <is>
          <t>1985</t>
        </is>
      </c>
    </row>
    <row r="171">
      <c r="A171" t="inlineStr">
        <is>
          <t>Tier 1 - Strong Fit</t>
        </is>
      </c>
      <c r="B171" t="inlineStr">
        <is>
          <t>The Chill Brothers</t>
        </is>
      </c>
      <c r="C171" t="inlineStr">
        <is>
          <t>140</t>
        </is>
      </c>
      <c r="D171" t="inlineStr">
        <is>
          <t>26100000</t>
        </is>
      </c>
      <c r="E171" s="2">
        <f>HYPERLINK("https://www.linkedin.com/in/brennan-mulcahy-a4020610","Brennan Mulcahy")</f>
        <v/>
      </c>
      <c r="F171" t="inlineStr">
        <is>
          <t>Small PE</t>
        </is>
      </c>
      <c r="G171" t="inlineStr">
        <is>
          <t>No</t>
        </is>
      </c>
      <c r="H171" t="inlineStr">
        <is>
          <t>Good</t>
        </is>
      </c>
      <c r="I171" t="inlineStr">
        <is>
          <t>consumer services</t>
        </is>
      </c>
      <c r="J171" t="inlineStr">
        <is>
          <t>Spring</t>
        </is>
      </c>
      <c r="K171" t="inlineStr">
        <is>
          <t>Texas</t>
        </is>
      </c>
      <c r="L171" t="inlineStr">
        <is>
          <t>http://www.thechillbrothers.com</t>
        </is>
      </c>
      <c r="M171" t="inlineStr">
        <is>
          <t>http://www.linkedin.com/company/thechillbrothers</t>
        </is>
      </c>
      <c r="N171" t="inlineStr">
        <is>
          <t>2020</t>
        </is>
      </c>
    </row>
    <row r="172">
      <c r="A172" t="inlineStr">
        <is>
          <t>Tier 1 - Strong Fit</t>
        </is>
      </c>
      <c r="B172" t="inlineStr">
        <is>
          <t>Bell Mechanical Services, LLC</t>
        </is>
      </c>
      <c r="C172" t="inlineStr">
        <is>
          <t>120</t>
        </is>
      </c>
      <c r="D172" t="inlineStr">
        <is>
          <t>15400000</t>
        </is>
      </c>
      <c r="E172" s="2">
        <f>HYPERLINK("https://www.linkedin.com/in/mike-bell-759a036a","Mike Bell")</f>
        <v/>
      </c>
      <c r="F172" t="inlineStr">
        <is>
          <t>Self</t>
        </is>
      </c>
      <c r="G172" t="inlineStr">
        <is>
          <t>No</t>
        </is>
      </c>
      <c r="H172" t="inlineStr">
        <is>
          <t>Average</t>
        </is>
      </c>
      <c r="I172" t="inlineStr">
        <is>
          <t>facilities services</t>
        </is>
      </c>
      <c r="J172" t="inlineStr">
        <is>
          <t>Carrollton</t>
        </is>
      </c>
      <c r="K172" t="inlineStr">
        <is>
          <t>Texas</t>
        </is>
      </c>
      <c r="L172" t="inlineStr">
        <is>
          <t>http://www.bellmechanical.com</t>
        </is>
      </c>
      <c r="M172" t="inlineStr">
        <is>
          <t>http://www.linkedin.com/company/bell-mechanical-services</t>
        </is>
      </c>
      <c r="N172" t="inlineStr">
        <is>
          <t>2007</t>
        </is>
      </c>
    </row>
    <row r="173">
      <c r="A173" t="inlineStr">
        <is>
          <t>Tier 1 - Strong Fit</t>
        </is>
      </c>
      <c r="B173" t="inlineStr">
        <is>
          <t>Primetime Healthcare Compliance Services</t>
        </is>
      </c>
      <c r="C173" t="inlineStr">
        <is>
          <t>120</t>
        </is>
      </c>
      <c r="D173" t="inlineStr">
        <is>
          <t>22200000</t>
        </is>
      </c>
      <c r="E173" s="2">
        <f>HYPERLINK("https://www.linkedin.com/in/william-roddy-87a17aaa","William Roddy")</f>
        <v/>
      </c>
      <c r="F173" t="inlineStr">
        <is>
          <t>Small PE</t>
        </is>
      </c>
      <c r="G173" t="inlineStr">
        <is>
          <t>No</t>
        </is>
      </c>
      <c r="H173" t="inlineStr">
        <is>
          <t>Average</t>
        </is>
      </c>
      <c r="I173" t="inlineStr">
        <is>
          <t>facilities services</t>
        </is>
      </c>
      <c r="J173" t="inlineStr">
        <is>
          <t>Humble</t>
        </is>
      </c>
      <c r="K173" t="inlineStr">
        <is>
          <t>Texas</t>
        </is>
      </c>
      <c r="L173" t="inlineStr">
        <is>
          <t>http://www.primetimehcs.com</t>
        </is>
      </c>
      <c r="M173" t="inlineStr">
        <is>
          <t>http://www.linkedin.com/company/primetime-healthcare-compliance-services</t>
        </is>
      </c>
      <c r="N173" t="inlineStr">
        <is>
          <t>2006</t>
        </is>
      </c>
    </row>
    <row r="174">
      <c r="A174" t="inlineStr">
        <is>
          <t>Tier 1 - Strong Fit</t>
        </is>
      </c>
      <c r="B174" t="inlineStr">
        <is>
          <t>ACIS - Air Conditioning Innovative Solutions, Inc.</t>
        </is>
      </c>
      <c r="C174" t="inlineStr">
        <is>
          <t>120</t>
        </is>
      </c>
      <c r="D174" t="inlineStr">
        <is>
          <t>44000000</t>
        </is>
      </c>
      <c r="E174" s="3" t="inlineStr">
        <is>
          <t>Mike Nichols</t>
        </is>
      </c>
      <c r="F174" t="inlineStr">
        <is>
          <t>Self</t>
        </is>
      </c>
      <c r="G174" t="inlineStr">
        <is>
          <t>No</t>
        </is>
      </c>
      <c r="H174" t="inlineStr">
        <is>
          <t>Average</t>
        </is>
      </c>
      <c r="I174" t="inlineStr">
        <is>
          <t>facilities services</t>
        </is>
      </c>
      <c r="J174" t="inlineStr">
        <is>
          <t>McKinney</t>
        </is>
      </c>
      <c r="K174" t="inlineStr">
        <is>
          <t>Texas</t>
        </is>
      </c>
      <c r="L174" t="inlineStr">
        <is>
          <t>http://www.acisinc.com</t>
        </is>
      </c>
      <c r="M174" t="inlineStr">
        <is>
          <t>http://www.linkedin.com/company/acisinc</t>
        </is>
      </c>
      <c r="N174" t="inlineStr">
        <is>
          <t>2002</t>
        </is>
      </c>
    </row>
    <row r="175">
      <c r="A175" t="inlineStr">
        <is>
          <t>Tier 1 - Strong Fit</t>
        </is>
      </c>
      <c r="B175" t="inlineStr">
        <is>
          <t>Lanehart Electrical Companies</t>
        </is>
      </c>
      <c r="C175" t="inlineStr">
        <is>
          <t>120</t>
        </is>
      </c>
      <c r="D175" t="inlineStr">
        <is>
          <t>25075000</t>
        </is>
      </c>
      <c r="E175" s="2">
        <f>HYPERLINK("https://www.linkedin.com/in/randy-garrett-68a8b16","Randy Garrett")</f>
        <v/>
      </c>
      <c r="F175" t="inlineStr">
        <is>
          <t>Self</t>
        </is>
      </c>
      <c r="G175" t="inlineStr">
        <is>
          <t>No</t>
        </is>
      </c>
      <c r="H175" t="inlineStr">
        <is>
          <t>Average</t>
        </is>
      </c>
      <c r="I175" t="inlineStr">
        <is>
          <t>construction</t>
        </is>
      </c>
      <c r="J175" t="inlineStr">
        <is>
          <t>Irving</t>
        </is>
      </c>
      <c r="K175" t="inlineStr">
        <is>
          <t>Texas</t>
        </is>
      </c>
      <c r="L175" t="inlineStr">
        <is>
          <t>http://www.lanehart.com</t>
        </is>
      </c>
      <c r="M175" t="inlineStr">
        <is>
          <t>http://www.linkedin.com/company/lanehart-electrical-companies</t>
        </is>
      </c>
      <c r="N175" t="inlineStr">
        <is>
          <t>1955</t>
        </is>
      </c>
    </row>
    <row r="176">
      <c r="A176" t="inlineStr">
        <is>
          <t>Tier 1 - Strong Fit</t>
        </is>
      </c>
      <c r="B176" t="inlineStr">
        <is>
          <t>Merit Advisors, LLC</t>
        </is>
      </c>
      <c r="C176" t="inlineStr">
        <is>
          <t>120</t>
        </is>
      </c>
      <c r="D176" t="inlineStr">
        <is>
          <t>27700000</t>
        </is>
      </c>
      <c r="E176" s="3" t="inlineStr">
        <is>
          <t>Tony Kroschewsky</t>
        </is>
      </c>
      <c r="F176" t="inlineStr">
        <is>
          <t>Self</t>
        </is>
      </c>
      <c r="G176" t="inlineStr">
        <is>
          <t>No</t>
        </is>
      </c>
      <c r="H176" t="inlineStr">
        <is>
          <t>Average</t>
        </is>
      </c>
      <c r="I176" t="inlineStr">
        <is>
          <t>financial services</t>
        </is>
      </c>
      <c r="J176" t="inlineStr">
        <is>
          <t>Dallas</t>
        </is>
      </c>
      <c r="K176" t="inlineStr">
        <is>
          <t>Texas</t>
        </is>
      </c>
      <c r="L176" t="inlineStr">
        <is>
          <t>http://www.meritadvisors.com</t>
        </is>
      </c>
      <c r="M176" t="inlineStr">
        <is>
          <t>http://www.linkedin.com/company/merit-advisors-l-p-</t>
        </is>
      </c>
      <c r="N176" t="inlineStr">
        <is>
          <t>1998</t>
        </is>
      </c>
    </row>
    <row r="177">
      <c r="A177" t="inlineStr">
        <is>
          <t>Tier 1 - Strong Fit</t>
        </is>
      </c>
      <c r="B177" t="inlineStr">
        <is>
          <t>Vyrian, Inc.</t>
        </is>
      </c>
      <c r="C177" t="inlineStr">
        <is>
          <t>120</t>
        </is>
      </c>
      <c r="D177" t="inlineStr">
        <is>
          <t>10900000</t>
        </is>
      </c>
      <c r="E177" s="2">
        <f>HYPERLINK("https://www.linkedin.com/in/sath-sivasothy-897626116","Sath Sivasothy")</f>
        <v/>
      </c>
      <c r="F177" t="inlineStr">
        <is>
          <t>Self</t>
        </is>
      </c>
      <c r="G177" t="inlineStr">
        <is>
          <t>No</t>
        </is>
      </c>
      <c r="H177" t="inlineStr">
        <is>
          <t>Average</t>
        </is>
      </c>
      <c r="I177" t="inlineStr">
        <is>
          <t>semiconductors</t>
        </is>
      </c>
      <c r="J177" t="inlineStr">
        <is>
          <t>Houston</t>
        </is>
      </c>
      <c r="K177" t="inlineStr">
        <is>
          <t>Texas</t>
        </is>
      </c>
      <c r="L177" t="inlineStr">
        <is>
          <t>http://www.vyrian.com</t>
        </is>
      </c>
      <c r="M177" t="inlineStr">
        <is>
          <t>http://www.linkedin.com/company/vyrian-inc</t>
        </is>
      </c>
      <c r="N177" t="inlineStr">
        <is>
          <t>2011</t>
        </is>
      </c>
    </row>
    <row r="178">
      <c r="A178" t="inlineStr">
        <is>
          <t>Tier 1 - Strong Fit</t>
        </is>
      </c>
      <c r="B178" t="inlineStr">
        <is>
          <t>DOT Compliance Group</t>
        </is>
      </c>
      <c r="C178" t="inlineStr">
        <is>
          <t>110</t>
        </is>
      </c>
      <c r="D178" t="inlineStr">
        <is>
          <t>40000000</t>
        </is>
      </c>
      <c r="E178" s="2">
        <f>HYPERLINK("https://www.linkedin.com/in/scott-rister-480aa5228","Scott Rister")</f>
        <v/>
      </c>
      <c r="F178" t="inlineStr">
        <is>
          <t>Self</t>
        </is>
      </c>
      <c r="G178" t="inlineStr">
        <is>
          <t>No</t>
        </is>
      </c>
      <c r="H178" t="inlineStr">
        <is>
          <t>Average</t>
        </is>
      </c>
      <c r="I178" t="inlineStr">
        <is>
          <t>transportation/trucking/railroad</t>
        </is>
      </c>
      <c r="J178" t="inlineStr">
        <is>
          <t>Irving</t>
        </is>
      </c>
      <c r="K178" t="inlineStr">
        <is>
          <t>Texas</t>
        </is>
      </c>
      <c r="L178" t="inlineStr">
        <is>
          <t>http://www.dotcompliancegroup.com</t>
        </is>
      </c>
      <c r="M178" t="inlineStr">
        <is>
          <t>http://www.linkedin.com/company/dot-compliance-group-llc</t>
        </is>
      </c>
      <c r="N178" t="inlineStr">
        <is>
          <t>2013</t>
        </is>
      </c>
    </row>
    <row r="179">
      <c r="A179" t="inlineStr">
        <is>
          <t>Tier 1 - Strong Fit</t>
        </is>
      </c>
      <c r="B179" t="inlineStr">
        <is>
          <t>National Monitoring Center</t>
        </is>
      </c>
      <c r="C179" t="inlineStr">
        <is>
          <t>110</t>
        </is>
      </c>
      <c r="D179" t="inlineStr">
        <is>
          <t>10000000</t>
        </is>
      </c>
      <c r="E179" s="3" t="inlineStr">
        <is>
          <t>Michael Schubert</t>
        </is>
      </c>
      <c r="F179" t="inlineStr">
        <is>
          <t>Small PE</t>
        </is>
      </c>
      <c r="G179" t="inlineStr">
        <is>
          <t>No</t>
        </is>
      </c>
      <c r="H179" t="inlineStr">
        <is>
          <t>Good</t>
        </is>
      </c>
      <c r="I179" t="inlineStr">
        <is>
          <t>security &amp; investigations</t>
        </is>
      </c>
      <c r="J179" t="inlineStr">
        <is>
          <t>Irving</t>
        </is>
      </c>
      <c r="K179" t="inlineStr">
        <is>
          <t>Texas</t>
        </is>
      </c>
      <c r="L179" t="inlineStr">
        <is>
          <t>http://www.nmccentral.com</t>
        </is>
      </c>
      <c r="M179" t="inlineStr">
        <is>
          <t>http://www.linkedin.com/company/national-monitoring-center</t>
        </is>
      </c>
      <c r="N179" t="inlineStr">
        <is>
          <t>2001</t>
        </is>
      </c>
    </row>
    <row r="180">
      <c r="A180" t="inlineStr">
        <is>
          <t>Tier 1 - Strong Fit</t>
        </is>
      </c>
      <c r="B180" t="inlineStr">
        <is>
          <t>Dodson Valco</t>
        </is>
      </c>
      <c r="C180" t="inlineStr">
        <is>
          <t>110</t>
        </is>
      </c>
      <c r="D180" t="inlineStr">
        <is>
          <t>24586000</t>
        </is>
      </c>
      <c r="E180" s="3" t="inlineStr">
        <is>
          <t>Greg Wheeler</t>
        </is>
      </c>
      <c r="F180" t="inlineStr">
        <is>
          <t>Self</t>
        </is>
      </c>
      <c r="G180" t="inlineStr">
        <is>
          <t>No</t>
        </is>
      </c>
      <c r="H180" t="inlineStr">
        <is>
          <t>Average</t>
        </is>
      </c>
      <c r="I180" t="inlineStr">
        <is>
          <t>oil &amp; energy</t>
        </is>
      </c>
      <c r="J180" t="inlineStr">
        <is>
          <t>Houston</t>
        </is>
      </c>
      <c r="K180" t="inlineStr">
        <is>
          <t>Texas</t>
        </is>
      </c>
      <c r="L180" t="inlineStr">
        <is>
          <t>http://www.dodsonglobal.com</t>
        </is>
      </c>
      <c r="M180" t="inlineStr">
        <is>
          <t>http://www.linkedin.com/company/dodsonvalco</t>
        </is>
      </c>
      <c r="N180" t="inlineStr">
        <is>
          <t>2024</t>
        </is>
      </c>
    </row>
    <row r="181">
      <c r="A181" t="inlineStr">
        <is>
          <t>Tier 1 - Strong Fit</t>
        </is>
      </c>
      <c r="B181" t="inlineStr">
        <is>
          <t>Groves Industrial</t>
        </is>
      </c>
      <c r="C181" t="inlineStr">
        <is>
          <t>110</t>
        </is>
      </c>
      <c r="D181" t="inlineStr">
        <is>
          <t>35000000</t>
        </is>
      </c>
      <c r="E181" s="3" t="inlineStr">
        <is>
          <t>Dean Groves</t>
        </is>
      </c>
      <c r="F181" t="inlineStr">
        <is>
          <t>Family</t>
        </is>
      </c>
      <c r="G181" t="inlineStr">
        <is>
          <t>No</t>
        </is>
      </c>
      <c r="H181" t="inlineStr">
        <is>
          <t>Average</t>
        </is>
      </c>
      <c r="I181" t="inlineStr">
        <is>
          <t>wholesale</t>
        </is>
      </c>
      <c r="J181" t="inlineStr">
        <is>
          <t>Houston</t>
        </is>
      </c>
      <c r="K181" t="inlineStr">
        <is>
          <t>Texas</t>
        </is>
      </c>
      <c r="L181" t="inlineStr">
        <is>
          <t>http://www.grovesindustrial.com</t>
        </is>
      </c>
      <c r="M181" t="inlineStr">
        <is>
          <t>http://www.linkedin.com/company/groves-industrial-supply</t>
        </is>
      </c>
      <c r="N181" t="inlineStr">
        <is>
          <t>1981</t>
        </is>
      </c>
    </row>
    <row r="182">
      <c r="A182" t="inlineStr">
        <is>
          <t>Tier 1 - Strong Fit</t>
        </is>
      </c>
      <c r="B182" t="inlineStr">
        <is>
          <t>Gentzler Electrical Svc Inc</t>
        </is>
      </c>
      <c r="C182" t="inlineStr">
        <is>
          <t>110</t>
        </is>
      </c>
      <c r="D182" t="inlineStr">
        <is>
          <t>29400000</t>
        </is>
      </c>
      <c r="E182" s="2">
        <f>HYPERLINK("https://www.linkedin.com/in/stan-gentzler-8a3ba613","Stan Gentzler")</f>
        <v/>
      </c>
      <c r="F182" t="inlineStr">
        <is>
          <t>Self</t>
        </is>
      </c>
      <c r="G182" t="inlineStr">
        <is>
          <t>No</t>
        </is>
      </c>
      <c r="H182" t="inlineStr">
        <is>
          <t>Average</t>
        </is>
      </c>
      <c r="I182" t="inlineStr">
        <is>
          <t>electrical/electronic manufacturing</t>
        </is>
      </c>
      <c r="J182" t="inlineStr">
        <is>
          <t>Dallas</t>
        </is>
      </c>
      <c r="K182" t="inlineStr">
        <is>
          <t>Texas</t>
        </is>
      </c>
      <c r="L182" t="inlineStr">
        <is>
          <t>http://www.gentzlerelectric.com</t>
        </is>
      </c>
      <c r="M182" t="inlineStr">
        <is>
          <t>http://www.linkedin.com/company/gentzler-electrical-svc-inc</t>
        </is>
      </c>
    </row>
    <row r="183">
      <c r="A183" t="inlineStr">
        <is>
          <t>Tier 1 - Strong Fit</t>
        </is>
      </c>
      <c r="B183" t="inlineStr">
        <is>
          <t>Venture Mechanical, Inc.</t>
        </is>
      </c>
      <c r="C183" t="inlineStr">
        <is>
          <t>100</t>
        </is>
      </c>
      <c r="D183" t="inlineStr">
        <is>
          <t>18871000</t>
        </is>
      </c>
      <c r="E183" s="3" t="inlineStr">
        <is>
          <t>Sam Petty</t>
        </is>
      </c>
      <c r="F183" t="inlineStr">
        <is>
          <t>Self</t>
        </is>
      </c>
      <c r="G183" t="inlineStr">
        <is>
          <t>No</t>
        </is>
      </c>
      <c r="H183" t="inlineStr">
        <is>
          <t>Average</t>
        </is>
      </c>
      <c r="I183" t="inlineStr">
        <is>
          <t>construction</t>
        </is>
      </c>
      <c r="J183" t="inlineStr">
        <is>
          <t>Carrollton</t>
        </is>
      </c>
      <c r="K183" t="inlineStr">
        <is>
          <t>Texas</t>
        </is>
      </c>
      <c r="L183" t="inlineStr">
        <is>
          <t>http://www.venturemech.com</t>
        </is>
      </c>
      <c r="M183" t="inlineStr">
        <is>
          <t>http://www.linkedin.com/company/venturemechanical</t>
        </is>
      </c>
      <c r="N183" t="inlineStr">
        <is>
          <t>1975</t>
        </is>
      </c>
    </row>
    <row r="184">
      <c r="A184" t="inlineStr">
        <is>
          <t>Tier 1 - Strong Fit</t>
        </is>
      </c>
      <c r="B184" t="inlineStr">
        <is>
          <t>Braemac Americas</t>
        </is>
      </c>
      <c r="C184" t="inlineStr">
        <is>
          <t>98</t>
        </is>
      </c>
      <c r="D184" t="inlineStr">
        <is>
          <t>48874000</t>
        </is>
      </c>
      <c r="E184" s="3" t="inlineStr">
        <is>
          <t>David Owens</t>
        </is>
      </c>
      <c r="F184" t="inlineStr">
        <is>
          <t>Big PE</t>
        </is>
      </c>
      <c r="G184" t="inlineStr">
        <is>
          <t>No</t>
        </is>
      </c>
      <c r="H184" t="inlineStr">
        <is>
          <t>Good</t>
        </is>
      </c>
      <c r="I184" t="inlineStr">
        <is>
          <t>semiconductors</t>
        </is>
      </c>
      <c r="J184" t="inlineStr">
        <is>
          <t>Fort Worth</t>
        </is>
      </c>
      <c r="K184" t="inlineStr">
        <is>
          <t>Texas</t>
        </is>
      </c>
      <c r="L184" t="inlineStr">
        <is>
          <t>http://www.braemac.com</t>
        </is>
      </c>
      <c r="M184" t="inlineStr">
        <is>
          <t>http://www.linkedin.com/company/braemac-americas</t>
        </is>
      </c>
      <c r="N184" t="inlineStr">
        <is>
          <t>1998</t>
        </is>
      </c>
    </row>
    <row r="185">
      <c r="A185" t="inlineStr">
        <is>
          <t>Tier 1 - Strong Fit</t>
        </is>
      </c>
      <c r="B185" t="inlineStr">
        <is>
          <t>ClimeCo</t>
        </is>
      </c>
      <c r="C185" t="inlineStr">
        <is>
          <t>96</t>
        </is>
      </c>
      <c r="D185" t="inlineStr">
        <is>
          <t>22000000</t>
        </is>
      </c>
      <c r="E185" s="2">
        <f>HYPERLINK("https://www.linkedin.com/in/bill-flederbach","Bill Flederbach")</f>
        <v/>
      </c>
      <c r="F185" t="inlineStr">
        <is>
          <t>Self</t>
        </is>
      </c>
      <c r="G185" t="inlineStr">
        <is>
          <t>No</t>
        </is>
      </c>
      <c r="H185" t="inlineStr">
        <is>
          <t>Good</t>
        </is>
      </c>
      <c r="I185" t="inlineStr">
        <is>
          <t>environmental services</t>
        </is>
      </c>
      <c r="J185" t="inlineStr">
        <is>
          <t>Houston</t>
        </is>
      </c>
      <c r="K185" t="inlineStr">
        <is>
          <t>Texas</t>
        </is>
      </c>
      <c r="L185" t="inlineStr">
        <is>
          <t>http://www.climeco.com</t>
        </is>
      </c>
      <c r="M185" t="inlineStr">
        <is>
          <t>http://www.linkedin.com/company/climeco</t>
        </is>
      </c>
      <c r="N185" t="inlineStr">
        <is>
          <t>2009</t>
        </is>
      </c>
    </row>
    <row r="186">
      <c r="A186" t="inlineStr">
        <is>
          <t>Tier 1 - Strong Fit</t>
        </is>
      </c>
      <c r="B186" t="inlineStr">
        <is>
          <t>Church Services</t>
        </is>
      </c>
      <c r="C186" t="inlineStr">
        <is>
          <t>95</t>
        </is>
      </c>
      <c r="D186" t="inlineStr">
        <is>
          <t>17181000</t>
        </is>
      </c>
      <c r="E186" s="3" t="inlineStr">
        <is>
          <t>Eric Davidofsky</t>
        </is>
      </c>
      <c r="F186" t="inlineStr">
        <is>
          <t>Small PE</t>
        </is>
      </c>
      <c r="G186" t="inlineStr">
        <is>
          <t>No</t>
        </is>
      </c>
      <c r="H186" t="inlineStr">
        <is>
          <t>Average</t>
        </is>
      </c>
      <c r="I186" t="inlineStr">
        <is>
          <t>construction</t>
        </is>
      </c>
      <c r="J186" t="inlineStr">
        <is>
          <t>Houston</t>
        </is>
      </c>
      <c r="K186" t="inlineStr">
        <is>
          <t>Texas</t>
        </is>
      </c>
      <c r="L186" t="inlineStr">
        <is>
          <t>http://www.churchservices.com</t>
        </is>
      </c>
      <c r="M186" t="inlineStr">
        <is>
          <t>http://www.linkedin.com/company/church-services-houston-christian-brothers-central-texas-four-seasons-dallas-</t>
        </is>
      </c>
      <c r="N186" t="inlineStr">
        <is>
          <t>1990</t>
        </is>
      </c>
    </row>
    <row r="187">
      <c r="A187" t="inlineStr">
        <is>
          <t>Tier 1 - Strong Fit</t>
        </is>
      </c>
      <c r="B187" t="inlineStr">
        <is>
          <t>HTH Communications, LLC.</t>
        </is>
      </c>
      <c r="C187" t="inlineStr">
        <is>
          <t>94</t>
        </is>
      </c>
      <c r="D187" t="inlineStr">
        <is>
          <t>32285000</t>
        </is>
      </c>
      <c r="E187" s="2">
        <f>HYPERLINK("https://www.linkedin.com/in/henry-hung-do-80129023","Henry Do")</f>
        <v/>
      </c>
      <c r="F187" t="inlineStr">
        <is>
          <t>Self</t>
        </is>
      </c>
      <c r="G187" t="inlineStr">
        <is>
          <t>No</t>
        </is>
      </c>
      <c r="H187" t="inlineStr">
        <is>
          <t>Average</t>
        </is>
      </c>
      <c r="I187" t="inlineStr">
        <is>
          <t>wireless</t>
        </is>
      </c>
      <c r="J187" t="inlineStr">
        <is>
          <t>Houston</t>
        </is>
      </c>
      <c r="K187" t="inlineStr">
        <is>
          <t>Texas</t>
        </is>
      </c>
      <c r="L187" t="inlineStr">
        <is>
          <t>http://www.hthcomm.com</t>
        </is>
      </c>
      <c r="M187" t="inlineStr">
        <is>
          <t>http://www.linkedin.com/company/hth-communications-llc-</t>
        </is>
      </c>
      <c r="N187" t="inlineStr">
        <is>
          <t>2008</t>
        </is>
      </c>
    </row>
    <row r="188">
      <c r="A188" t="inlineStr">
        <is>
          <t>Tier 1 - Strong Fit</t>
        </is>
      </c>
      <c r="B188" t="inlineStr">
        <is>
          <t>Mechanical Partners, Inc.</t>
        </is>
      </c>
      <c r="C188" t="inlineStr">
        <is>
          <t>92</t>
        </is>
      </c>
      <c r="D188" t="inlineStr">
        <is>
          <t>30000000</t>
        </is>
      </c>
      <c r="E188" s="3" t="inlineStr">
        <is>
          <t>Randy Henderson</t>
        </is>
      </c>
      <c r="F188" t="inlineStr">
        <is>
          <t>Self</t>
        </is>
      </c>
      <c r="G188" t="inlineStr">
        <is>
          <t>No</t>
        </is>
      </c>
      <c r="H188" t="inlineStr">
        <is>
          <t>Average</t>
        </is>
      </c>
      <c r="I188" t="inlineStr">
        <is>
          <t>construction</t>
        </is>
      </c>
      <c r="J188" t="inlineStr">
        <is>
          <t>Dallas</t>
        </is>
      </c>
      <c r="K188" t="inlineStr">
        <is>
          <t>Texas</t>
        </is>
      </c>
      <c r="L188" t="inlineStr">
        <is>
          <t>http://www.mechanicalpartners.com</t>
        </is>
      </c>
      <c r="M188" t="inlineStr">
        <is>
          <t>http://www.linkedin.com/company/mechanical-partners-inc.</t>
        </is>
      </c>
      <c r="N188" t="inlineStr">
        <is>
          <t>2000</t>
        </is>
      </c>
    </row>
    <row r="189">
      <c r="A189" t="inlineStr">
        <is>
          <t>Tier 1 - Strong Fit</t>
        </is>
      </c>
      <c r="B189" t="inlineStr">
        <is>
          <t>Securadyne Systems</t>
        </is>
      </c>
      <c r="C189" t="inlineStr">
        <is>
          <t>91</t>
        </is>
      </c>
      <c r="D189" t="inlineStr">
        <is>
          <t>15917000</t>
        </is>
      </c>
      <c r="E189" s="3" t="inlineStr">
        <is>
          <t>Not found</t>
        </is>
      </c>
      <c r="F189" t="inlineStr">
        <is>
          <t>Big PE</t>
        </is>
      </c>
      <c r="G189" t="inlineStr">
        <is>
          <t>No</t>
        </is>
      </c>
      <c r="H189" t="inlineStr">
        <is>
          <t>Average</t>
        </is>
      </c>
      <c r="I189" t="inlineStr">
        <is>
          <t>security &amp; investigations</t>
        </is>
      </c>
      <c r="J189" t="inlineStr">
        <is>
          <t>Dallas</t>
        </is>
      </c>
      <c r="K189" t="inlineStr">
        <is>
          <t>Texas</t>
        </is>
      </c>
      <c r="L189" t="inlineStr">
        <is>
          <t>http://www.securadyne.com</t>
        </is>
      </c>
      <c r="M189" t="inlineStr">
        <is>
          <t>http://www.linkedin.com/company/securadyne-systems</t>
        </is>
      </c>
      <c r="N189" t="inlineStr">
        <is>
          <t>2011</t>
        </is>
      </c>
    </row>
    <row r="190">
      <c r="A190" t="inlineStr">
        <is>
          <t>Tier 1 - Strong Fit</t>
        </is>
      </c>
      <c r="B190" t="inlineStr">
        <is>
          <t>Gibson Plumbing</t>
        </is>
      </c>
      <c r="C190" t="inlineStr">
        <is>
          <t>90</t>
        </is>
      </c>
      <c r="D190" t="inlineStr">
        <is>
          <t>14874000</t>
        </is>
      </c>
      <c r="E190" s="3" t="inlineStr">
        <is>
          <t>Barry Bankler</t>
        </is>
      </c>
      <c r="F190" t="inlineStr">
        <is>
          <t>Small PE</t>
        </is>
      </c>
      <c r="G190" t="inlineStr">
        <is>
          <t>No</t>
        </is>
      </c>
      <c r="H190" t="inlineStr">
        <is>
          <t>Average</t>
        </is>
      </c>
      <c r="I190" t="inlineStr">
        <is>
          <t>construction</t>
        </is>
      </c>
      <c r="J190" t="inlineStr">
        <is>
          <t>San Antonio</t>
        </is>
      </c>
      <c r="K190" t="inlineStr">
        <is>
          <t>Texas</t>
        </is>
      </c>
      <c r="L190" t="inlineStr">
        <is>
          <t>http://www.gibsonplumbing.com</t>
        </is>
      </c>
      <c r="M190" t="inlineStr">
        <is>
          <t>http://www.linkedin.com/company/gibsonplumbing</t>
        </is>
      </c>
      <c r="N190" t="inlineStr">
        <is>
          <t>1954</t>
        </is>
      </c>
    </row>
    <row r="191">
      <c r="A191" t="inlineStr">
        <is>
          <t>Tier 1 - Strong Fit</t>
        </is>
      </c>
      <c r="B191" t="inlineStr">
        <is>
          <t>Enviromatic Systems</t>
        </is>
      </c>
      <c r="C191" t="inlineStr">
        <is>
          <t>89</t>
        </is>
      </c>
      <c r="D191" t="inlineStr">
        <is>
          <t>10000000</t>
        </is>
      </c>
      <c r="E191" s="3" t="inlineStr">
        <is>
          <t>Dean Glover</t>
        </is>
      </c>
      <c r="F191" t="inlineStr">
        <is>
          <t>Small PE</t>
        </is>
      </c>
      <c r="G191" t="inlineStr">
        <is>
          <t>No</t>
        </is>
      </c>
      <c r="H191" t="inlineStr">
        <is>
          <t>Average</t>
        </is>
      </c>
      <c r="I191" t="inlineStr">
        <is>
          <t>construction</t>
        </is>
      </c>
      <c r="J191" t="inlineStr">
        <is>
          <t>Grand Prairie</t>
        </is>
      </c>
      <c r="K191" t="inlineStr">
        <is>
          <t>Texas</t>
        </is>
      </c>
      <c r="L191" t="inlineStr">
        <is>
          <t>http://www.enviromaticsystems.com</t>
        </is>
      </c>
      <c r="M191" t="inlineStr">
        <is>
          <t>http://www.linkedin.com/company/enviromatic-systems</t>
        </is>
      </c>
      <c r="N191" t="inlineStr">
        <is>
          <t>1973</t>
        </is>
      </c>
    </row>
    <row r="192">
      <c r="A192" t="inlineStr">
        <is>
          <t>Tier 1 - Strong Fit</t>
        </is>
      </c>
      <c r="B192" t="inlineStr">
        <is>
          <t>CAVIS Energy</t>
        </is>
      </c>
      <c r="C192" t="inlineStr">
        <is>
          <t>88</t>
        </is>
      </c>
      <c r="D192" t="inlineStr">
        <is>
          <t>14400000</t>
        </is>
      </c>
      <c r="E192" s="3" t="inlineStr">
        <is>
          <t>Dean Fraser</t>
        </is>
      </c>
      <c r="F192" t="inlineStr">
        <is>
          <t>Family</t>
        </is>
      </c>
      <c r="G192" t="inlineStr">
        <is>
          <t>No</t>
        </is>
      </c>
      <c r="H192" t="inlineStr">
        <is>
          <t>Average</t>
        </is>
      </c>
      <c r="I192" t="inlineStr">
        <is>
          <t>machinery</t>
        </is>
      </c>
      <c r="J192" t="inlineStr">
        <is>
          <t>Fort Worth</t>
        </is>
      </c>
      <c r="K192" t="inlineStr">
        <is>
          <t>Texas</t>
        </is>
      </c>
      <c r="L192" t="inlineStr">
        <is>
          <t>http://www.cavisenergy.com</t>
        </is>
      </c>
      <c r="M192" t="inlineStr">
        <is>
          <t>http://www.linkedin.com/company/cavisenergy</t>
        </is>
      </c>
      <c r="N192" t="inlineStr">
        <is>
          <t>2025</t>
        </is>
      </c>
    </row>
    <row r="193">
      <c r="A193" t="inlineStr">
        <is>
          <t>Tier 1 - Strong Fit</t>
        </is>
      </c>
      <c r="B193" t="inlineStr">
        <is>
          <t>Decker Mechanical</t>
        </is>
      </c>
      <c r="C193" t="inlineStr">
        <is>
          <t>87</t>
        </is>
      </c>
      <c r="D193" t="inlineStr">
        <is>
          <t>25837000</t>
        </is>
      </c>
      <c r="E193" s="2">
        <f>HYPERLINK("https://www.linkedin.com/in/wade-decker-10ab3269","Wade Decker")</f>
        <v/>
      </c>
      <c r="F193" t="inlineStr">
        <is>
          <t>Self</t>
        </is>
      </c>
      <c r="G193" t="inlineStr">
        <is>
          <t>No</t>
        </is>
      </c>
      <c r="H193" t="inlineStr">
        <is>
          <t>Average</t>
        </is>
      </c>
      <c r="I193" t="inlineStr">
        <is>
          <t>construction</t>
        </is>
      </c>
      <c r="J193" t="inlineStr">
        <is>
          <t>Cedar Hill</t>
        </is>
      </c>
      <c r="K193" t="inlineStr">
        <is>
          <t>Texas</t>
        </is>
      </c>
      <c r="L193" t="inlineStr">
        <is>
          <t>http://www.deckermechanical.com</t>
        </is>
      </c>
      <c r="M193" t="inlineStr">
        <is>
          <t>http://www.linkedin.com/company/decker-mechanical</t>
        </is>
      </c>
    </row>
    <row r="194">
      <c r="A194" t="inlineStr">
        <is>
          <t>Tier 1 - Strong Fit</t>
        </is>
      </c>
      <c r="B194" t="inlineStr">
        <is>
          <t>5</t>
        </is>
      </c>
      <c r="C194" t="inlineStr">
        <is>
          <t>85</t>
        </is>
      </c>
      <c r="D194" t="inlineStr">
        <is>
          <t>20000000</t>
        </is>
      </c>
      <c r="E194" s="2">
        <f>HYPERLINK("https://www.linkedin.com/in/brianhayduk","Brian Hayduk")</f>
        <v/>
      </c>
      <c r="F194" t="inlineStr">
        <is>
          <t>Self</t>
        </is>
      </c>
      <c r="G194" t="inlineStr">
        <is>
          <t>No</t>
        </is>
      </c>
      <c r="H194" t="inlineStr">
        <is>
          <t>Good</t>
        </is>
      </c>
      <c r="I194" t="inlineStr">
        <is>
          <t>management consulting</t>
        </is>
      </c>
      <c r="J194" t="inlineStr">
        <is>
          <t>Irving</t>
        </is>
      </c>
      <c r="K194" t="inlineStr">
        <is>
          <t>Texas</t>
        </is>
      </c>
      <c r="L194" t="inlineStr">
        <is>
          <t>http://www.energyby5.com</t>
        </is>
      </c>
      <c r="M194" t="inlineStr">
        <is>
          <t>http://www.linkedin.com/company/energyby5</t>
        </is>
      </c>
      <c r="N194" t="inlineStr">
        <is>
          <t>2011</t>
        </is>
      </c>
    </row>
    <row r="195">
      <c r="A195" t="inlineStr">
        <is>
          <t>Tier 1 - Strong Fit</t>
        </is>
      </c>
      <c r="B195" t="inlineStr">
        <is>
          <t>ToxStrategies, a BlueRidge Life Sciences Company</t>
        </is>
      </c>
      <c r="C195" t="inlineStr">
        <is>
          <t>85</t>
        </is>
      </c>
      <c r="D195" t="inlineStr">
        <is>
          <t>17800000</t>
        </is>
      </c>
      <c r="E195" s="3" t="inlineStr">
        <is>
          <t>Mark Harris</t>
        </is>
      </c>
      <c r="F195" t="inlineStr">
        <is>
          <t>Small PE</t>
        </is>
      </c>
      <c r="G195" t="inlineStr">
        <is>
          <t>No</t>
        </is>
      </c>
      <c r="H195" t="inlineStr">
        <is>
          <t>Average</t>
        </is>
      </c>
      <c r="I195" t="inlineStr">
        <is>
          <t>pharmaceuticals</t>
        </is>
      </c>
      <c r="J195" t="inlineStr">
        <is>
          <t>Katy</t>
        </is>
      </c>
      <c r="K195" t="inlineStr">
        <is>
          <t>Texas</t>
        </is>
      </c>
      <c r="L195" t="inlineStr">
        <is>
          <t>http://www.toxstrategies.com</t>
        </is>
      </c>
      <c r="M195" t="inlineStr">
        <is>
          <t>http://www.linkedin.com/company/toxstrategies</t>
        </is>
      </c>
      <c r="N195" t="inlineStr">
        <is>
          <t>2008</t>
        </is>
      </c>
    </row>
    <row r="196">
      <c r="A196" t="inlineStr">
        <is>
          <t>Tier 1 - Strong Fit</t>
        </is>
      </c>
      <c r="B196" t="inlineStr">
        <is>
          <t>Humphrey Company, Ltd.</t>
        </is>
      </c>
      <c r="C196" t="inlineStr">
        <is>
          <t>84</t>
        </is>
      </c>
      <c r="D196" t="inlineStr">
        <is>
          <t>17528000</t>
        </is>
      </c>
      <c r="E196" s="3" t="inlineStr">
        <is>
          <t>James Humphrey Jr.</t>
        </is>
      </c>
      <c r="F196" t="inlineStr">
        <is>
          <t>Family</t>
        </is>
      </c>
      <c r="G196" t="inlineStr">
        <is>
          <t>No</t>
        </is>
      </c>
      <c r="H196" t="inlineStr">
        <is>
          <t>Average</t>
        </is>
      </c>
      <c r="I196" t="inlineStr">
        <is>
          <t>construction</t>
        </is>
      </c>
      <c r="J196" t="inlineStr">
        <is>
          <t>Houston</t>
        </is>
      </c>
      <c r="K196" t="inlineStr">
        <is>
          <t>Texas</t>
        </is>
      </c>
      <c r="L196" t="inlineStr">
        <is>
          <t>http://www.humphreyltd.com</t>
        </is>
      </c>
      <c r="M196" t="inlineStr">
        <is>
          <t>http://www.linkedin.com/company/humphrey-company-ltd-</t>
        </is>
      </c>
      <c r="N196" t="inlineStr">
        <is>
          <t>1951</t>
        </is>
      </c>
    </row>
    <row r="197">
      <c r="A197" t="inlineStr">
        <is>
          <t>Tier 1 - Strong Fit</t>
        </is>
      </c>
      <c r="B197" t="inlineStr">
        <is>
          <t>Able Machinery Movers, An MEI Company</t>
        </is>
      </c>
      <c r="C197" t="inlineStr">
        <is>
          <t>84</t>
        </is>
      </c>
      <c r="D197" t="inlineStr">
        <is>
          <t>24500000</t>
        </is>
      </c>
      <c r="E197" s="3" t="inlineStr">
        <is>
          <t>Ben Miller</t>
        </is>
      </c>
      <c r="F197" t="inlineStr">
        <is>
          <t>Small PE</t>
        </is>
      </c>
      <c r="G197" t="inlineStr">
        <is>
          <t>No</t>
        </is>
      </c>
      <c r="H197" t="inlineStr">
        <is>
          <t>Average</t>
        </is>
      </c>
      <c r="I197" t="inlineStr">
        <is>
          <t>machinery</t>
        </is>
      </c>
      <c r="J197" t="inlineStr">
        <is>
          <t>Grapevine</t>
        </is>
      </c>
      <c r="K197" t="inlineStr">
        <is>
          <t>Texas</t>
        </is>
      </c>
      <c r="L197" t="inlineStr">
        <is>
          <t>http://www.ablemachinerymovers.com</t>
        </is>
      </c>
      <c r="M197" t="inlineStr">
        <is>
          <t>http://www.linkedin.com/company/able-machinery-movers-inc-</t>
        </is>
      </c>
      <c r="N197" t="inlineStr">
        <is>
          <t>1957</t>
        </is>
      </c>
    </row>
    <row r="198">
      <c r="A198" t="inlineStr">
        <is>
          <t>Tier 1 - Strong Fit</t>
        </is>
      </c>
      <c r="B198" t="inlineStr">
        <is>
          <t>AirCo Air Conditioning, Heating, and Plumbing</t>
        </is>
      </c>
      <c r="C198" t="inlineStr">
        <is>
          <t>82</t>
        </is>
      </c>
      <c r="D198" t="inlineStr">
        <is>
          <t>25837000</t>
        </is>
      </c>
      <c r="E198" s="2">
        <f>HYPERLINK("https://www.linkedin.com/in/rick-thornton-2a5a5168","Rick Thornton")</f>
        <v/>
      </c>
      <c r="F198" t="inlineStr">
        <is>
          <t>Family</t>
        </is>
      </c>
      <c r="G198" t="inlineStr">
        <is>
          <t>No</t>
        </is>
      </c>
      <c r="H198" t="inlineStr">
        <is>
          <t>Average</t>
        </is>
      </c>
      <c r="I198" t="inlineStr">
        <is>
          <t>consumer services</t>
        </is>
      </c>
      <c r="J198" t="inlineStr">
        <is>
          <t>Fort Worth</t>
        </is>
      </c>
      <c r="K198" t="inlineStr">
        <is>
          <t>Texas</t>
        </is>
      </c>
      <c r="L198" t="inlineStr">
        <is>
          <t>http://www.airco.com</t>
        </is>
      </c>
      <c r="M198" t="inlineStr">
        <is>
          <t>http://www.linkedin.com/company/airco-dfw</t>
        </is>
      </c>
      <c r="N198" t="inlineStr">
        <is>
          <t>1990</t>
        </is>
      </c>
    </row>
    <row r="199">
      <c r="A199" t="inlineStr">
        <is>
          <t>Tier 1 - Strong Fit</t>
        </is>
      </c>
      <c r="B199" t="inlineStr">
        <is>
          <t>A&amp;B Labs</t>
        </is>
      </c>
      <c r="C199" t="inlineStr">
        <is>
          <t>82</t>
        </is>
      </c>
      <c r="D199" t="inlineStr">
        <is>
          <t>32000000</t>
        </is>
      </c>
      <c r="E199" s="3" t="inlineStr">
        <is>
          <t>Ram Ramakrishnan</t>
        </is>
      </c>
      <c r="F199" t="inlineStr">
        <is>
          <t>Small PE</t>
        </is>
      </c>
      <c r="G199" t="inlineStr">
        <is>
          <t>No</t>
        </is>
      </c>
      <c r="H199" t="inlineStr">
        <is>
          <t>Average</t>
        </is>
      </c>
      <c r="I199" t="inlineStr">
        <is>
          <t>environmental services</t>
        </is>
      </c>
      <c r="J199" t="inlineStr">
        <is>
          <t>Houston</t>
        </is>
      </c>
      <c r="K199" t="inlineStr">
        <is>
          <t>Texas</t>
        </is>
      </c>
      <c r="L199" t="inlineStr">
        <is>
          <t>http://www.ablabs.com</t>
        </is>
      </c>
      <c r="M199" t="inlineStr">
        <is>
          <t>http://www.linkedin.com/company/a&amp;b-environmental-services-inc-dba-a&amp;b-labs</t>
        </is>
      </c>
      <c r="N199" t="inlineStr">
        <is>
          <t>1988</t>
        </is>
      </c>
    </row>
    <row r="200">
      <c r="A200" t="inlineStr">
        <is>
          <t>Tier 1 - Strong Fit</t>
        </is>
      </c>
      <c r="B200" t="inlineStr">
        <is>
          <t>DAVA Oncology</t>
        </is>
      </c>
      <c r="C200" t="inlineStr">
        <is>
          <t>82</t>
        </is>
      </c>
      <c r="D200" t="inlineStr">
        <is>
          <t>10544000</t>
        </is>
      </c>
      <c r="E200" s="3" t="inlineStr">
        <is>
          <t>Vinay Jain</t>
        </is>
      </c>
      <c r="F200" t="inlineStr">
        <is>
          <t>Self</t>
        </is>
      </c>
      <c r="G200" t="inlineStr">
        <is>
          <t>No</t>
        </is>
      </c>
      <c r="H200" t="inlineStr">
        <is>
          <t>Good</t>
        </is>
      </c>
      <c r="I200" t="inlineStr">
        <is>
          <t>pharmaceuticals</t>
        </is>
      </c>
      <c r="J200" t="inlineStr">
        <is>
          <t>Plano</t>
        </is>
      </c>
      <c r="K200" t="inlineStr">
        <is>
          <t>Texas</t>
        </is>
      </c>
      <c r="L200" t="inlineStr">
        <is>
          <t>http://www.davaonc.com</t>
        </is>
      </c>
      <c r="M200" t="inlineStr">
        <is>
          <t>http://www.linkedin.com/company/davaoncology</t>
        </is>
      </c>
      <c r="N200" t="inlineStr">
        <is>
          <t>2007</t>
        </is>
      </c>
    </row>
    <row r="201">
      <c r="A201" t="inlineStr">
        <is>
          <t>Tier 1 - Strong Fit</t>
        </is>
      </c>
      <c r="B201" t="inlineStr">
        <is>
          <t>Corporate Relocation International, LLC - CRI</t>
        </is>
      </c>
      <c r="C201" t="inlineStr">
        <is>
          <t>81</t>
        </is>
      </c>
      <c r="D201" t="inlineStr">
        <is>
          <t>10000000</t>
        </is>
      </c>
      <c r="E201" s="2">
        <f>HYPERLINK("https://www.linkedin.com/in/anthony-horton-7b6a8914","Anthony Horton")</f>
        <v/>
      </c>
      <c r="F201" t="inlineStr">
        <is>
          <t>Self</t>
        </is>
      </c>
      <c r="G201" t="inlineStr">
        <is>
          <t>No</t>
        </is>
      </c>
      <c r="H201" t="inlineStr">
        <is>
          <t>Good</t>
        </is>
      </c>
      <c r="I201" t="inlineStr">
        <is>
          <t>human resources</t>
        </is>
      </c>
      <c r="J201" t="inlineStr">
        <is>
          <t>Flower Mound</t>
        </is>
      </c>
      <c r="K201" t="inlineStr">
        <is>
          <t>Texas</t>
        </is>
      </c>
      <c r="L201" t="inlineStr">
        <is>
          <t>http://www.corprelo.com</t>
        </is>
      </c>
      <c r="M201" t="inlineStr">
        <is>
          <t>http://www.linkedin.com/company/corporate-relocation</t>
        </is>
      </c>
      <c r="N201" t="inlineStr">
        <is>
          <t>1987</t>
        </is>
      </c>
    </row>
    <row r="202">
      <c r="A202" t="inlineStr">
        <is>
          <t>Tier 1 - Strong Fit</t>
        </is>
      </c>
      <c r="B202" t="inlineStr">
        <is>
          <t>Oslin Nation Company</t>
        </is>
      </c>
      <c r="C202" t="inlineStr">
        <is>
          <t>80</t>
        </is>
      </c>
      <c r="D202" t="inlineStr">
        <is>
          <t>21000000</t>
        </is>
      </c>
      <c r="E202" s="3" t="inlineStr">
        <is>
          <t>Steven Lipe</t>
        </is>
      </c>
      <c r="F202" t="inlineStr">
        <is>
          <t>Self</t>
        </is>
      </c>
      <c r="G202" t="inlineStr">
        <is>
          <t>No</t>
        </is>
      </c>
      <c r="H202" t="inlineStr">
        <is>
          <t>Average</t>
        </is>
      </c>
      <c r="I202" t="inlineStr">
        <is>
          <t>wholesale</t>
        </is>
      </c>
      <c r="J202" t="inlineStr">
        <is>
          <t>Arlington</t>
        </is>
      </c>
      <c r="K202" t="inlineStr">
        <is>
          <t>Texas</t>
        </is>
      </c>
      <c r="L202" t="inlineStr">
        <is>
          <t>http://www.onco-tx.com</t>
        </is>
      </c>
      <c r="M202" t="inlineStr">
        <is>
          <t>http://www.linkedin.com/company/oslin-nation-co</t>
        </is>
      </c>
      <c r="N202" t="inlineStr">
        <is>
          <t>1943</t>
        </is>
      </c>
    </row>
    <row r="203">
      <c r="A203" t="inlineStr">
        <is>
          <t>Tier 1 - Strong Fit</t>
        </is>
      </c>
      <c r="B203" t="inlineStr">
        <is>
          <t>Steel Supply</t>
        </is>
      </c>
      <c r="C203" t="inlineStr">
        <is>
          <t>80</t>
        </is>
      </c>
      <c r="D203" t="inlineStr">
        <is>
          <t>13706000</t>
        </is>
      </c>
      <c r="E203" s="3" t="inlineStr">
        <is>
          <t>Marshall Hoffman</t>
        </is>
      </c>
      <c r="F203" t="inlineStr">
        <is>
          <t>Self</t>
        </is>
      </c>
      <c r="G203" t="inlineStr">
        <is>
          <t>No</t>
        </is>
      </c>
      <c r="H203" t="inlineStr">
        <is>
          <t>Average</t>
        </is>
      </c>
      <c r="I203" t="inlineStr">
        <is>
          <t>building materials</t>
        </is>
      </c>
      <c r="J203" t="inlineStr">
        <is>
          <t>Houston</t>
        </is>
      </c>
      <c r="K203" t="inlineStr">
        <is>
          <t>Texas</t>
        </is>
      </c>
      <c r="L203" t="inlineStr">
        <is>
          <t>http://www.steelsupplylp.com</t>
        </is>
      </c>
      <c r="M203" t="inlineStr">
        <is>
          <t>http://www.linkedin.com/company/steel-supply-l-p-</t>
        </is>
      </c>
      <c r="N203" t="inlineStr">
        <is>
          <t>1990</t>
        </is>
      </c>
    </row>
    <row r="204">
      <c r="A204" t="inlineStr">
        <is>
          <t>Tier 1 - Strong Fit</t>
        </is>
      </c>
      <c r="B204" t="inlineStr">
        <is>
          <t>GarageExperts®</t>
        </is>
      </c>
      <c r="C204" t="inlineStr">
        <is>
          <t>80</t>
        </is>
      </c>
      <c r="D204" t="inlineStr">
        <is>
          <t>37725000</t>
        </is>
      </c>
      <c r="E204" s="3" t="inlineStr">
        <is>
          <t>Mike Meursing</t>
        </is>
      </c>
      <c r="F204" t="inlineStr">
        <is>
          <t>Self</t>
        </is>
      </c>
      <c r="G204" t="inlineStr">
        <is>
          <t>No</t>
        </is>
      </c>
      <c r="H204" t="inlineStr">
        <is>
          <t>Good</t>
        </is>
      </c>
      <c r="I204" t="inlineStr">
        <is>
          <t>consumer services</t>
        </is>
      </c>
      <c r="J204" t="inlineStr">
        <is>
          <t>Grapevine</t>
        </is>
      </c>
      <c r="K204" t="inlineStr">
        <is>
          <t>Texas</t>
        </is>
      </c>
      <c r="L204" t="inlineStr">
        <is>
          <t>http://www.garageexperts.com</t>
        </is>
      </c>
      <c r="M204" t="inlineStr">
        <is>
          <t>http://www.linkedin.com/company/garageexperts</t>
        </is>
      </c>
      <c r="N204" t="inlineStr">
        <is>
          <t>2008</t>
        </is>
      </c>
    </row>
    <row r="205">
      <c r="A205" t="inlineStr">
        <is>
          <t>Tier 1 - Strong Fit</t>
        </is>
      </c>
      <c r="B205" t="inlineStr">
        <is>
          <t>ABLe Communications, Inc.</t>
        </is>
      </c>
      <c r="C205" t="inlineStr">
        <is>
          <t>80</t>
        </is>
      </c>
      <c r="D205" t="inlineStr">
        <is>
          <t>24990000</t>
        </is>
      </c>
      <c r="E205" s="2">
        <f>HYPERLINK("https://www.linkedin.com/in/hiram-c-lopez-a857483","Hiram C. Lopez")</f>
        <v/>
      </c>
      <c r="F205" t="inlineStr">
        <is>
          <t>Self</t>
        </is>
      </c>
      <c r="G205" t="inlineStr">
        <is>
          <t>No</t>
        </is>
      </c>
      <c r="H205" t="inlineStr">
        <is>
          <t>Average</t>
        </is>
      </c>
      <c r="I205" t="inlineStr">
        <is>
          <t>telecommunications</t>
        </is>
      </c>
      <c r="J205" t="inlineStr">
        <is>
          <t>Grand Prairie</t>
        </is>
      </c>
      <c r="K205" t="inlineStr">
        <is>
          <t>Texas</t>
        </is>
      </c>
      <c r="L205" t="inlineStr">
        <is>
          <t>http://www.ablecomm.net</t>
        </is>
      </c>
      <c r="M205" t="inlineStr">
        <is>
          <t>http://www.linkedin.com/company/able-communications-inc-</t>
        </is>
      </c>
      <c r="N205" t="inlineStr">
        <is>
          <t>1994</t>
        </is>
      </c>
    </row>
    <row r="206">
      <c r="A206" t="inlineStr">
        <is>
          <t>Tier 1 - Strong Fit</t>
        </is>
      </c>
      <c r="B206" t="inlineStr">
        <is>
          <t>McMillan James Equipment Company</t>
        </is>
      </c>
      <c r="C206" t="inlineStr">
        <is>
          <t>80</t>
        </is>
      </c>
      <c r="D206" t="inlineStr">
        <is>
          <t>13034000</t>
        </is>
      </c>
      <c r="E206" s="3" t="inlineStr">
        <is>
          <t>Mark McMillan</t>
        </is>
      </c>
      <c r="F206" t="inlineStr">
        <is>
          <t>Self</t>
        </is>
      </c>
      <c r="G206" t="inlineStr">
        <is>
          <t>No</t>
        </is>
      </c>
      <c r="H206" t="inlineStr">
        <is>
          <t>Good</t>
        </is>
      </c>
      <c r="I206" t="inlineStr">
        <is>
          <t>machinery</t>
        </is>
      </c>
      <c r="J206" t="inlineStr">
        <is>
          <t>Grapevine</t>
        </is>
      </c>
      <c r="K206" t="inlineStr">
        <is>
          <t>Texas</t>
        </is>
      </c>
      <c r="L206" t="inlineStr">
        <is>
          <t>http://www.mjec.com</t>
        </is>
      </c>
      <c r="M206" t="inlineStr">
        <is>
          <t>http://www.linkedin.com/company/mcmillan-james-equipment-company</t>
        </is>
      </c>
      <c r="N206" t="inlineStr">
        <is>
          <t>1999</t>
        </is>
      </c>
    </row>
    <row r="207">
      <c r="A207" t="inlineStr">
        <is>
          <t>Tier 1 - Strong Fit</t>
        </is>
      </c>
      <c r="B207" t="inlineStr">
        <is>
          <t>Raven Mechanical, LP</t>
        </is>
      </c>
      <c r="C207" t="inlineStr">
        <is>
          <t>79</t>
        </is>
      </c>
      <c r="D207" t="inlineStr">
        <is>
          <t>17665000</t>
        </is>
      </c>
      <c r="E207" s="3" t="inlineStr">
        <is>
          <t>Stephen Jones</t>
        </is>
      </c>
      <c r="F207" t="inlineStr">
        <is>
          <t>Family</t>
        </is>
      </c>
      <c r="G207" t="inlineStr">
        <is>
          <t>No</t>
        </is>
      </c>
      <c r="H207" t="inlineStr">
        <is>
          <t>Average</t>
        </is>
      </c>
      <c r="I207" t="inlineStr">
        <is>
          <t>construction</t>
        </is>
      </c>
      <c r="J207" t="inlineStr">
        <is>
          <t>Houston</t>
        </is>
      </c>
      <c r="K207" t="inlineStr">
        <is>
          <t>Texas</t>
        </is>
      </c>
      <c r="L207" t="inlineStr">
        <is>
          <t>http://www.ravenmechanical.com</t>
        </is>
      </c>
      <c r="M207" t="inlineStr">
        <is>
          <t>http://www.linkedin.com/company/raven-mechanical-lp</t>
        </is>
      </c>
      <c r="N207" t="inlineStr">
        <is>
          <t>1979</t>
        </is>
      </c>
    </row>
    <row r="208">
      <c r="A208" t="inlineStr">
        <is>
          <t>Tier 1 - Strong Fit</t>
        </is>
      </c>
      <c r="B208" t="inlineStr">
        <is>
          <t>Kidd Roofing</t>
        </is>
      </c>
      <c r="C208" t="inlineStr">
        <is>
          <t>79</t>
        </is>
      </c>
      <c r="D208" t="inlineStr">
        <is>
          <t>41600000</t>
        </is>
      </c>
      <c r="E208" s="2">
        <f>HYPERLINK("https://www.linkedin.com/in/chris-lowe-7b00b517","Chris Lowe")</f>
        <v/>
      </c>
      <c r="F208" t="inlineStr">
        <is>
          <t>Self</t>
        </is>
      </c>
      <c r="G208" t="inlineStr">
        <is>
          <t>No</t>
        </is>
      </c>
      <c r="H208" t="inlineStr">
        <is>
          <t>Good</t>
        </is>
      </c>
      <c r="I208" t="inlineStr">
        <is>
          <t>construction</t>
        </is>
      </c>
      <c r="J208" t="inlineStr">
        <is>
          <t>Austin</t>
        </is>
      </c>
      <c r="K208" t="inlineStr">
        <is>
          <t>Texas</t>
        </is>
      </c>
      <c r="L208" t="inlineStr">
        <is>
          <t>http://www.kiddroof.com</t>
        </is>
      </c>
      <c r="M208" t="inlineStr">
        <is>
          <t>http://www.linkedin.com/company/kidd-roofing</t>
        </is>
      </c>
      <c r="N208" t="inlineStr">
        <is>
          <t>1982</t>
        </is>
      </c>
    </row>
    <row r="209">
      <c r="A209" t="inlineStr">
        <is>
          <t>Tier 1 - Strong Fit</t>
        </is>
      </c>
      <c r="B209" t="inlineStr">
        <is>
          <t>United Central Control</t>
        </is>
      </c>
      <c r="C209" t="inlineStr">
        <is>
          <t>77</t>
        </is>
      </c>
      <c r="D209" t="inlineStr">
        <is>
          <t>14559000</t>
        </is>
      </c>
      <c r="E209" s="3" t="inlineStr">
        <is>
          <t>Not found</t>
        </is>
      </c>
      <c r="F209" t="inlineStr">
        <is>
          <t>Self</t>
        </is>
      </c>
      <c r="G209" t="inlineStr">
        <is>
          <t>No</t>
        </is>
      </c>
      <c r="H209" t="inlineStr">
        <is>
          <t>Average</t>
        </is>
      </c>
      <c r="I209" t="inlineStr">
        <is>
          <t>security &amp; investigations</t>
        </is>
      </c>
      <c r="J209" t="inlineStr">
        <is>
          <t>San Antonio</t>
        </is>
      </c>
      <c r="K209" t="inlineStr">
        <is>
          <t>Texas</t>
        </is>
      </c>
      <c r="L209" t="inlineStr">
        <is>
          <t>http://www.teamucc.com</t>
        </is>
      </c>
      <c r="M209" t="inlineStr">
        <is>
          <t>http://www.linkedin.com/company/teamucc</t>
        </is>
      </c>
      <c r="N209" t="inlineStr">
        <is>
          <t>1982</t>
        </is>
      </c>
    </row>
    <row r="210">
      <c r="A210" t="inlineStr">
        <is>
          <t>Tier 1 - Strong Fit</t>
        </is>
      </c>
      <c r="B210" t="inlineStr">
        <is>
          <t>Pepco Sales and Marketing</t>
        </is>
      </c>
      <c r="C210" t="inlineStr">
        <is>
          <t>77</t>
        </is>
      </c>
      <c r="D210" t="inlineStr">
        <is>
          <t>10829000</t>
        </is>
      </c>
      <c r="E210" s="2">
        <f>HYPERLINK("https://www.linkedin.com/in/charlieparham","Charlie Parham")</f>
        <v/>
      </c>
      <c r="F210" t="inlineStr">
        <is>
          <t>Family</t>
        </is>
      </c>
      <c r="G210" t="inlineStr">
        <is>
          <t>No</t>
        </is>
      </c>
      <c r="H210" t="inlineStr">
        <is>
          <t>Good</t>
        </is>
      </c>
      <c r="I210" t="inlineStr">
        <is>
          <t>construction</t>
        </is>
      </c>
      <c r="J210" t="inlineStr">
        <is>
          <t>Dallas</t>
        </is>
      </c>
      <c r="K210" t="inlineStr">
        <is>
          <t>Texas</t>
        </is>
      </c>
      <c r="L210" t="inlineStr">
        <is>
          <t>http://www.pepcosales.com</t>
        </is>
      </c>
      <c r="M210" t="inlineStr">
        <is>
          <t>http://www.linkedin.com/company/pepco-sales</t>
        </is>
      </c>
      <c r="N210" t="inlineStr">
        <is>
          <t>1965</t>
        </is>
      </c>
    </row>
    <row r="211">
      <c r="A211" t="inlineStr">
        <is>
          <t>Tier 1 - Strong Fit</t>
        </is>
      </c>
      <c r="B211" t="inlineStr">
        <is>
          <t>SecureLogix</t>
        </is>
      </c>
      <c r="C211" t="inlineStr">
        <is>
          <t>76</t>
        </is>
      </c>
      <c r="D211" t="inlineStr">
        <is>
          <t>17000000</t>
        </is>
      </c>
      <c r="E211" s="2">
        <f>HYPERLINK("https://www.linkedin.com/in/lee-sutterfield-9662653","Lee Sutterfield")</f>
        <v/>
      </c>
      <c r="F211" t="inlineStr">
        <is>
          <t>Self</t>
        </is>
      </c>
      <c r="G211" t="inlineStr">
        <is>
          <t>Mark Collier</t>
        </is>
      </c>
      <c r="H211" t="inlineStr">
        <is>
          <t>Good</t>
        </is>
      </c>
      <c r="I211" t="inlineStr">
        <is>
          <t>computer &amp; network security</t>
        </is>
      </c>
      <c r="J211" t="inlineStr">
        <is>
          <t>San Antonio</t>
        </is>
      </c>
      <c r="K211" t="inlineStr">
        <is>
          <t>Texas</t>
        </is>
      </c>
      <c r="L211" t="inlineStr">
        <is>
          <t>http://www.securelogix.com</t>
        </is>
      </c>
      <c r="M211" t="inlineStr">
        <is>
          <t>http://www.linkedin.com/company/securelogix</t>
        </is>
      </c>
      <c r="N211" t="inlineStr">
        <is>
          <t>1998</t>
        </is>
      </c>
    </row>
    <row r="212">
      <c r="A212" t="inlineStr">
        <is>
          <t>Tier 1 - Strong Fit</t>
        </is>
      </c>
      <c r="B212" t="inlineStr">
        <is>
          <t>ABP Technology</t>
        </is>
      </c>
      <c r="C212" t="inlineStr">
        <is>
          <t>76</t>
        </is>
      </c>
      <c r="D212" t="inlineStr">
        <is>
          <t>39203000</t>
        </is>
      </c>
      <c r="E212" s="3" t="inlineStr">
        <is>
          <t>Robert Messer</t>
        </is>
      </c>
      <c r="F212" t="inlineStr">
        <is>
          <t>Self</t>
        </is>
      </c>
      <c r="G212" t="inlineStr">
        <is>
          <t>No</t>
        </is>
      </c>
      <c r="H212" t="inlineStr">
        <is>
          <t>Average</t>
        </is>
      </c>
      <c r="I212" t="inlineStr">
        <is>
          <t>computer networking</t>
        </is>
      </c>
      <c r="J212" t="inlineStr">
        <is>
          <t>Dallas</t>
        </is>
      </c>
      <c r="K212" t="inlineStr">
        <is>
          <t>Texas</t>
        </is>
      </c>
      <c r="L212" t="inlineStr">
        <is>
          <t>http://www.abptech.com</t>
        </is>
      </c>
      <c r="M212" t="inlineStr">
        <is>
          <t>http://www.linkedin.com/company/abp-technology</t>
        </is>
      </c>
      <c r="N212" t="inlineStr">
        <is>
          <t>2001</t>
        </is>
      </c>
    </row>
    <row r="213">
      <c r="A213" t="inlineStr">
        <is>
          <t>Tier 1 - Strong Fit</t>
        </is>
      </c>
      <c r="B213" t="inlineStr">
        <is>
          <t>Petri Electric</t>
        </is>
      </c>
      <c r="C213" t="inlineStr">
        <is>
          <t>75</t>
        </is>
      </c>
      <c r="D213" t="inlineStr">
        <is>
          <t>11406000</t>
        </is>
      </c>
      <c r="E213" s="2">
        <f>HYPERLINK("https://www.linkedin.com/in/robert-w-scott-26b77312","Robert W. Scott")</f>
        <v/>
      </c>
      <c r="F213" t="inlineStr">
        <is>
          <t>Self</t>
        </is>
      </c>
      <c r="G213" t="inlineStr">
        <is>
          <t>No</t>
        </is>
      </c>
      <c r="H213" t="inlineStr">
        <is>
          <t>Average</t>
        </is>
      </c>
      <c r="I213" t="inlineStr">
        <is>
          <t>construction</t>
        </is>
      </c>
      <c r="J213" t="inlineStr">
        <is>
          <t>Richardson</t>
        </is>
      </c>
      <c r="K213" t="inlineStr">
        <is>
          <t>Texas</t>
        </is>
      </c>
      <c r="L213" t="inlineStr">
        <is>
          <t>http://www.petri-electric.com</t>
        </is>
      </c>
      <c r="M213" t="inlineStr">
        <is>
          <t>http://www.linkedin.com/company/petri-electric</t>
        </is>
      </c>
      <c r="N213" t="inlineStr">
        <is>
          <t>1980</t>
        </is>
      </c>
    </row>
    <row r="214">
      <c r="A214" t="inlineStr">
        <is>
          <t>Tier 1 - Strong Fit</t>
        </is>
      </c>
      <c r="B214" t="inlineStr">
        <is>
          <t>Doggett Equipment Services Group</t>
        </is>
      </c>
      <c r="C214" t="inlineStr">
        <is>
          <t>74</t>
        </is>
      </c>
      <c r="D214" t="inlineStr">
        <is>
          <t>20837000</t>
        </is>
      </c>
      <c r="E214" s="3" t="inlineStr">
        <is>
          <t>Brian McLemore</t>
        </is>
      </c>
      <c r="F214" t="inlineStr">
        <is>
          <t>Family</t>
        </is>
      </c>
      <c r="G214" t="inlineStr">
        <is>
          <t>No</t>
        </is>
      </c>
      <c r="H214" t="inlineStr">
        <is>
          <t>Good</t>
        </is>
      </c>
      <c r="I214" t="inlineStr">
        <is>
          <t>construction</t>
        </is>
      </c>
      <c r="J214" t="inlineStr">
        <is>
          <t>Houston</t>
        </is>
      </c>
      <c r="K214" t="inlineStr">
        <is>
          <t>Texas</t>
        </is>
      </c>
      <c r="L214" t="inlineStr">
        <is>
          <t>http://www.doggett.com</t>
        </is>
      </c>
      <c r="M214" t="inlineStr">
        <is>
          <t>http://www.linkedin.com/company/doggett</t>
        </is>
      </c>
      <c r="N214" t="inlineStr">
        <is>
          <t>1993</t>
        </is>
      </c>
    </row>
    <row r="215">
      <c r="A215" t="inlineStr">
        <is>
          <t>Tier 1 - Strong Fit</t>
        </is>
      </c>
      <c r="B215" t="inlineStr">
        <is>
          <t>ABIS</t>
        </is>
      </c>
      <c r="C215" t="inlineStr">
        <is>
          <t>72</t>
        </is>
      </c>
      <c r="D215" t="inlineStr">
        <is>
          <t>45779000</t>
        </is>
      </c>
      <c r="E215" s="3" t="inlineStr">
        <is>
          <t>Russell Schulte</t>
        </is>
      </c>
      <c r="F215" t="inlineStr">
        <is>
          <t>Self</t>
        </is>
      </c>
      <c r="G215" t="inlineStr">
        <is>
          <t>No</t>
        </is>
      </c>
      <c r="H215" t="inlineStr">
        <is>
          <t>Average</t>
        </is>
      </c>
      <c r="I215" t="inlineStr">
        <is>
          <t>telecommunications</t>
        </is>
      </c>
      <c r="J215" t="inlineStr">
        <is>
          <t>Grand Prairie</t>
        </is>
      </c>
      <c r="K215" t="inlineStr">
        <is>
          <t>Texas</t>
        </is>
      </c>
      <c r="L215" t="inlineStr">
        <is>
          <t>http://www.abisinc.com</t>
        </is>
      </c>
      <c r="M215" t="inlineStr">
        <is>
          <t>http://www.linkedin.com/company/abis</t>
        </is>
      </c>
      <c r="N215" t="inlineStr">
        <is>
          <t>1979</t>
        </is>
      </c>
    </row>
    <row r="216">
      <c r="A216" t="inlineStr">
        <is>
          <t>Tier 1 - Strong Fit</t>
        </is>
      </c>
      <c r="B216" t="inlineStr">
        <is>
          <t>Independent Alliance of the Electrical Industry (IAEI)</t>
        </is>
      </c>
      <c r="C216" t="inlineStr">
        <is>
          <t>72</t>
        </is>
      </c>
      <c r="D216" t="inlineStr">
        <is>
          <t>14656000</t>
        </is>
      </c>
      <c r="E216" s="3" t="inlineStr">
        <is>
          <t>Not found</t>
        </is>
      </c>
      <c r="F216" t="inlineStr">
        <is>
          <t>Nonprofit</t>
        </is>
      </c>
      <c r="G216" t="inlineStr">
        <is>
          <t>No</t>
        </is>
      </c>
      <c r="H216" t="inlineStr">
        <is>
          <t>Good</t>
        </is>
      </c>
      <c r="I216" t="inlineStr">
        <is>
          <t>nonprofit organization management</t>
        </is>
      </c>
      <c r="J216" t="inlineStr">
        <is>
          <t>Richardson</t>
        </is>
      </c>
      <c r="K216" t="inlineStr">
        <is>
          <t>Texas</t>
        </is>
      </c>
      <c r="L216" t="inlineStr">
        <is>
          <t>http://www.iaei.org</t>
        </is>
      </c>
      <c r="M216" t="inlineStr">
        <is>
          <t>http://www.linkedin.com/company/iaei</t>
        </is>
      </c>
      <c r="N216" t="inlineStr">
        <is>
          <t>1928</t>
        </is>
      </c>
    </row>
    <row r="217">
      <c r="A217" t="inlineStr">
        <is>
          <t>Tier 1 - Strong Fit</t>
        </is>
      </c>
      <c r="B217" t="inlineStr">
        <is>
          <t>Mechanical Reps, Inc.</t>
        </is>
      </c>
      <c r="C217" t="inlineStr">
        <is>
          <t>71</t>
        </is>
      </c>
      <c r="D217" t="inlineStr">
        <is>
          <t>43380000</t>
        </is>
      </c>
      <c r="E217" s="3" t="inlineStr">
        <is>
          <t>Larry Bloomquist</t>
        </is>
      </c>
      <c r="F217" t="inlineStr">
        <is>
          <t>Family</t>
        </is>
      </c>
      <c r="G217" t="inlineStr">
        <is>
          <t>No</t>
        </is>
      </c>
      <c r="H217" t="inlineStr">
        <is>
          <t>Average</t>
        </is>
      </c>
      <c r="I217" t="inlineStr">
        <is>
          <t>wholesale</t>
        </is>
      </c>
      <c r="J217" t="inlineStr">
        <is>
          <t>San Antonio</t>
        </is>
      </c>
      <c r="K217" t="inlineStr">
        <is>
          <t>Texas</t>
        </is>
      </c>
      <c r="L217" t="inlineStr">
        <is>
          <t>http://www.mechreps.com</t>
        </is>
      </c>
      <c r="M217" t="inlineStr">
        <is>
          <t>http://www.linkedin.com/company/mechanicalreps</t>
        </is>
      </c>
      <c r="N217" t="inlineStr">
        <is>
          <t>1974</t>
        </is>
      </c>
    </row>
    <row r="218">
      <c r="A218" t="inlineStr">
        <is>
          <t>Tier 1 - Strong Fit</t>
        </is>
      </c>
      <c r="B218" t="inlineStr">
        <is>
          <t>Straight Line Industrial Services, Inc.</t>
        </is>
      </c>
      <c r="C218" t="inlineStr">
        <is>
          <t>71</t>
        </is>
      </c>
      <c r="D218" t="inlineStr">
        <is>
          <t>48690000</t>
        </is>
      </c>
      <c r="E218" s="3" t="inlineStr">
        <is>
          <t>Luis Adame</t>
        </is>
      </c>
      <c r="F218" t="inlineStr">
        <is>
          <t>Family</t>
        </is>
      </c>
      <c r="G218" t="inlineStr">
        <is>
          <t>No</t>
        </is>
      </c>
      <c r="H218" t="inlineStr">
        <is>
          <t>Average</t>
        </is>
      </c>
      <c r="I218" t="inlineStr">
        <is>
          <t>construction</t>
        </is>
      </c>
      <c r="J218" t="inlineStr">
        <is>
          <t>South Houston</t>
        </is>
      </c>
      <c r="K218" t="inlineStr">
        <is>
          <t>Texas</t>
        </is>
      </c>
      <c r="L218" t="inlineStr">
        <is>
          <t>http://www.sli-services.com</t>
        </is>
      </c>
      <c r="M218" t="inlineStr">
        <is>
          <t>http://www.linkedin.com/company/straight-line-industrial-services-inc-</t>
        </is>
      </c>
      <c r="N218" t="inlineStr">
        <is>
          <t>2004</t>
        </is>
      </c>
    </row>
    <row r="219">
      <c r="A219" t="inlineStr">
        <is>
          <t>Tier 1 - Strong Fit</t>
        </is>
      </c>
      <c r="B219" t="inlineStr">
        <is>
          <t>Texas Lighting</t>
        </is>
      </c>
      <c r="C219" t="inlineStr">
        <is>
          <t>71</t>
        </is>
      </c>
      <c r="D219" t="inlineStr">
        <is>
          <t>17135000</t>
        </is>
      </c>
      <c r="E219" s="2">
        <f>HYPERLINK("https://www.linkedin.com/in/jim-weathers-05b04a32","Jim Weathers")</f>
        <v/>
      </c>
      <c r="F219" t="inlineStr">
        <is>
          <t>Self</t>
        </is>
      </c>
      <c r="G219" t="inlineStr">
        <is>
          <t>No</t>
        </is>
      </c>
      <c r="H219" t="inlineStr">
        <is>
          <t>Average</t>
        </is>
      </c>
      <c r="I219" t="inlineStr">
        <is>
          <t>electrical/electronic manufacturing</t>
        </is>
      </c>
      <c r="J219" t="inlineStr">
        <is>
          <t>Fort Worth</t>
        </is>
      </c>
      <c r="K219" t="inlineStr">
        <is>
          <t>Texas</t>
        </is>
      </c>
      <c r="L219" t="inlineStr">
        <is>
          <t>http://www.texaslighting.com</t>
        </is>
      </c>
      <c r="M219" t="inlineStr">
        <is>
          <t>http://www.linkedin.com/company/txlighting</t>
        </is>
      </c>
      <c r="N219" t="inlineStr">
        <is>
          <t>1987</t>
        </is>
      </c>
    </row>
    <row r="220">
      <c r="A220" t="inlineStr">
        <is>
          <t>Tier 1 - Strong Fit</t>
        </is>
      </c>
      <c r="B220" t="inlineStr">
        <is>
          <t>Drywall Interiors, LP</t>
        </is>
      </c>
      <c r="C220" t="inlineStr">
        <is>
          <t>70</t>
        </is>
      </c>
      <c r="D220" t="inlineStr">
        <is>
          <t>37101000</t>
        </is>
      </c>
      <c r="E220" s="3" t="inlineStr">
        <is>
          <t>Walter W. Windom</t>
        </is>
      </c>
      <c r="F220" t="inlineStr">
        <is>
          <t>Self</t>
        </is>
      </c>
      <c r="G220" t="inlineStr">
        <is>
          <t>No</t>
        </is>
      </c>
      <c r="H220" t="inlineStr">
        <is>
          <t>Average</t>
        </is>
      </c>
      <c r="I220" t="inlineStr">
        <is>
          <t>construction</t>
        </is>
      </c>
      <c r="J220" t="inlineStr">
        <is>
          <t>Irving</t>
        </is>
      </c>
      <c r="K220" t="inlineStr">
        <is>
          <t>Texas</t>
        </is>
      </c>
      <c r="L220" t="inlineStr">
        <is>
          <t>http://www.drywallinteriors.com</t>
        </is>
      </c>
      <c r="M220" t="inlineStr">
        <is>
          <t>http://www.linkedin.com/company/drywall-interiors-lp</t>
        </is>
      </c>
      <c r="N220" t="inlineStr">
        <is>
          <t>1975</t>
        </is>
      </c>
    </row>
    <row r="221">
      <c r="A221" t="inlineStr">
        <is>
          <t>Tier 1 - Strong Fit</t>
        </is>
      </c>
      <c r="B221" t="inlineStr">
        <is>
          <t>AMERICAN RESTORATION</t>
        </is>
      </c>
      <c r="C221" t="inlineStr">
        <is>
          <t>69</t>
        </is>
      </c>
      <c r="D221" t="inlineStr">
        <is>
          <t>10000000</t>
        </is>
      </c>
      <c r="E221" s="3" t="inlineStr">
        <is>
          <t>Not found</t>
        </is>
      </c>
      <c r="F221" t="inlineStr">
        <is>
          <t>Self</t>
        </is>
      </c>
      <c r="G221" t="inlineStr">
        <is>
          <t>No</t>
        </is>
      </c>
      <c r="H221" t="inlineStr">
        <is>
          <t>Average</t>
        </is>
      </c>
      <c r="I221" t="inlineStr">
        <is>
          <t>construction</t>
        </is>
      </c>
      <c r="J221" t="inlineStr">
        <is>
          <t>Wylie</t>
        </is>
      </c>
      <c r="K221" t="inlineStr">
        <is>
          <t>Texas</t>
        </is>
      </c>
      <c r="L221" t="inlineStr">
        <is>
          <t>http://www.americanrestorationinc.com</t>
        </is>
      </c>
      <c r="M221" t="inlineStr">
        <is>
          <t>http://www.linkedin.com/company/american-restoration-inc</t>
        </is>
      </c>
      <c r="N221" t="inlineStr">
        <is>
          <t>1986</t>
        </is>
      </c>
    </row>
    <row r="222">
      <c r="A222" t="inlineStr">
        <is>
          <t>Tier 1 - Strong Fit</t>
        </is>
      </c>
      <c r="B222" t="inlineStr">
        <is>
          <t>Ellen Lighting &amp; Hardware</t>
        </is>
      </c>
      <c r="C222" t="inlineStr">
        <is>
          <t>69</t>
        </is>
      </c>
      <c r="D222" t="inlineStr">
        <is>
          <t>40211000</t>
        </is>
      </c>
      <c r="E222" s="3" t="inlineStr">
        <is>
          <t>Mark Estes</t>
        </is>
      </c>
      <c r="F222" t="inlineStr">
        <is>
          <t>Self</t>
        </is>
      </c>
      <c r="G222" t="inlineStr">
        <is>
          <t>No</t>
        </is>
      </c>
      <c r="H222" t="inlineStr">
        <is>
          <t>Average</t>
        </is>
      </c>
      <c r="I222" t="inlineStr">
        <is>
          <t>construction</t>
        </is>
      </c>
      <c r="J222" t="inlineStr">
        <is>
          <t>Stafford</t>
        </is>
      </c>
      <c r="K222" t="inlineStr">
        <is>
          <t>Texas</t>
        </is>
      </c>
      <c r="L222" t="inlineStr">
        <is>
          <t>http://www.ellenlighting.com</t>
        </is>
      </c>
      <c r="M222" t="inlineStr">
        <is>
          <t>http://www.linkedin.com/company/ellen-lighting-&amp;-hardware</t>
        </is>
      </c>
    </row>
    <row r="223">
      <c r="A223" t="inlineStr">
        <is>
          <t>Tier 1 - Strong Fit</t>
        </is>
      </c>
      <c r="B223" t="inlineStr">
        <is>
          <t>BVA Group</t>
        </is>
      </c>
      <c r="C223" t="inlineStr">
        <is>
          <t>69</t>
        </is>
      </c>
      <c r="D223" t="inlineStr">
        <is>
          <t>15964000</t>
        </is>
      </c>
      <c r="E223" s="3" t="inlineStr">
        <is>
          <t>Erica Bramer</t>
        </is>
      </c>
      <c r="F223" t="inlineStr">
        <is>
          <t>Self</t>
        </is>
      </c>
      <c r="G223" t="inlineStr">
        <is>
          <t>No</t>
        </is>
      </c>
      <c r="H223" t="inlineStr">
        <is>
          <t>Good</t>
        </is>
      </c>
      <c r="I223" t="inlineStr">
        <is>
          <t>financial services</t>
        </is>
      </c>
      <c r="J223" t="inlineStr">
        <is>
          <t>Plano</t>
        </is>
      </c>
      <c r="K223" t="inlineStr">
        <is>
          <t>Texas</t>
        </is>
      </c>
      <c r="L223" t="inlineStr">
        <is>
          <t>http://www.bvagroup.com</t>
        </is>
      </c>
      <c r="M223" t="inlineStr">
        <is>
          <t>http://www.linkedin.com/company/bva-group</t>
        </is>
      </c>
      <c r="N223" t="inlineStr">
        <is>
          <t>1974</t>
        </is>
      </c>
    </row>
    <row r="224">
      <c r="A224" t="inlineStr">
        <is>
          <t>Tier 1 - Strong Fit</t>
        </is>
      </c>
      <c r="B224" t="inlineStr">
        <is>
          <t>CFI Mechanical, Inc</t>
        </is>
      </c>
      <c r="C224" t="inlineStr">
        <is>
          <t>68</t>
        </is>
      </c>
      <c r="D224" t="inlineStr">
        <is>
          <t>15648000</t>
        </is>
      </c>
      <c r="E224" s="2">
        <f>HYPERLINK("https://www.linkedin.com/in/chuck-fell-261422a","Chuck Fell")</f>
        <v/>
      </c>
      <c r="F224" t="inlineStr">
        <is>
          <t>Self</t>
        </is>
      </c>
      <c r="G224" t="inlineStr">
        <is>
          <t>No</t>
        </is>
      </c>
      <c r="H224" t="inlineStr">
        <is>
          <t>Average</t>
        </is>
      </c>
      <c r="I224" t="inlineStr">
        <is>
          <t>construction</t>
        </is>
      </c>
      <c r="J224" t="inlineStr">
        <is>
          <t>Houston</t>
        </is>
      </c>
      <c r="K224" t="inlineStr">
        <is>
          <t>Texas</t>
        </is>
      </c>
      <c r="L224" t="inlineStr">
        <is>
          <t>http://www.cfimechanical.com</t>
        </is>
      </c>
      <c r="M224" t="inlineStr">
        <is>
          <t>http://www.linkedin.com/company/cfi-mechanical-inc</t>
        </is>
      </c>
      <c r="N224" t="inlineStr">
        <is>
          <t>1996</t>
        </is>
      </c>
    </row>
    <row r="225">
      <c r="A225" t="inlineStr">
        <is>
          <t>Tier 1 - Strong Fit</t>
        </is>
      </c>
      <c r="B225" t="inlineStr">
        <is>
          <t>OGD® Overhead Garage Door</t>
        </is>
      </c>
      <c r="C225" t="inlineStr">
        <is>
          <t>68</t>
        </is>
      </c>
      <c r="D225" t="inlineStr">
        <is>
          <t>36811000</t>
        </is>
      </c>
      <c r="E225" s="3" t="inlineStr">
        <is>
          <t>Not found</t>
        </is>
      </c>
      <c r="F225" t="inlineStr">
        <is>
          <t>Family</t>
        </is>
      </c>
      <c r="G225" t="inlineStr">
        <is>
          <t>No</t>
        </is>
      </c>
      <c r="H225" t="inlineStr">
        <is>
          <t>Good</t>
        </is>
      </c>
      <c r="I225" t="inlineStr">
        <is>
          <t>consumer services</t>
        </is>
      </c>
      <c r="J225" t="inlineStr">
        <is>
          <t>Fort Worth</t>
        </is>
      </c>
      <c r="K225" t="inlineStr">
        <is>
          <t>Texas</t>
        </is>
      </c>
      <c r="L225" t="inlineStr">
        <is>
          <t>http://www.ogd.com</t>
        </is>
      </c>
      <c r="M225" t="inlineStr">
        <is>
          <t>http://www.linkedin.com/company/overhead-garage-door-llc</t>
        </is>
      </c>
      <c r="N225" t="inlineStr">
        <is>
          <t>2011</t>
        </is>
      </c>
    </row>
    <row r="226">
      <c r="A226" t="inlineStr">
        <is>
          <t>Tier 1 - Strong Fit</t>
        </is>
      </c>
      <c r="B226" t="inlineStr">
        <is>
          <t>Gillette Air Conditioning Company, Inc</t>
        </is>
      </c>
      <c r="C226" t="inlineStr">
        <is>
          <t>67</t>
        </is>
      </c>
      <c r="D226" t="inlineStr">
        <is>
          <t>20228000</t>
        </is>
      </c>
      <c r="E226" s="2">
        <f>HYPERLINK("https://www.linkedin.com/in/vincent-gillette-4901217","Vincent Gillette Jr.")</f>
        <v/>
      </c>
      <c r="F226" t="inlineStr">
        <is>
          <t>Family</t>
        </is>
      </c>
      <c r="G226" t="inlineStr">
        <is>
          <t>No</t>
        </is>
      </c>
      <c r="H226" t="inlineStr">
        <is>
          <t>Average</t>
        </is>
      </c>
      <c r="I226" t="inlineStr">
        <is>
          <t>facilities services</t>
        </is>
      </c>
      <c r="J226" t="inlineStr">
        <is>
          <t>San Antonio</t>
        </is>
      </c>
      <c r="K226" t="inlineStr">
        <is>
          <t>Texas</t>
        </is>
      </c>
      <c r="L226" t="inlineStr">
        <is>
          <t>http://www.gillette-ac.com</t>
        </is>
      </c>
      <c r="M226" t="inlineStr">
        <is>
          <t>http://www.linkedin.com/company/gillette-air-conditioning-company-inc</t>
        </is>
      </c>
    </row>
    <row r="227">
      <c r="A227" t="inlineStr">
        <is>
          <t>Tier 1 - Strong Fit</t>
        </is>
      </c>
      <c r="B227" t="inlineStr">
        <is>
          <t>Air Vent</t>
        </is>
      </c>
      <c r="C227" t="inlineStr">
        <is>
          <t>66</t>
        </is>
      </c>
      <c r="D227" t="inlineStr">
        <is>
          <t>10000000</t>
        </is>
      </c>
      <c r="E227" s="3" t="inlineStr">
        <is>
          <t>Not found</t>
        </is>
      </c>
      <c r="F227" t="inlineStr">
        <is>
          <t>Public</t>
        </is>
      </c>
      <c r="G227" t="inlineStr">
        <is>
          <t>No</t>
        </is>
      </c>
      <c r="H227" t="inlineStr">
        <is>
          <t>Average</t>
        </is>
      </c>
      <c r="I227" t="inlineStr">
        <is>
          <t>building materials</t>
        </is>
      </c>
      <c r="J227" t="inlineStr">
        <is>
          <t>Dallas</t>
        </is>
      </c>
      <c r="K227" t="inlineStr">
        <is>
          <t>Texas</t>
        </is>
      </c>
      <c r="L227" t="inlineStr">
        <is>
          <t>http://www.airvent.com</t>
        </is>
      </c>
      <c r="M227" t="inlineStr">
        <is>
          <t>http://www.linkedin.com/company/airventinc</t>
        </is>
      </c>
      <c r="N227" t="inlineStr">
        <is>
          <t>1975</t>
        </is>
      </c>
    </row>
    <row r="228">
      <c r="A228" t="inlineStr">
        <is>
          <t>Tier 1 - Strong Fit</t>
        </is>
      </c>
      <c r="B228" t="inlineStr">
        <is>
          <t>Vaden's Drywall - Plaster - Masonry</t>
        </is>
      </c>
      <c r="C228" t="inlineStr">
        <is>
          <t>66</t>
        </is>
      </c>
      <c r="D228" t="inlineStr">
        <is>
          <t>36492000</t>
        </is>
      </c>
      <c r="E228" s="3" t="inlineStr">
        <is>
          <t>Harold Vaden Jr.</t>
        </is>
      </c>
      <c r="F228" t="inlineStr">
        <is>
          <t>Family</t>
        </is>
      </c>
      <c r="G228" t="inlineStr">
        <is>
          <t>No</t>
        </is>
      </c>
      <c r="H228" t="inlineStr">
        <is>
          <t>Average</t>
        </is>
      </c>
      <c r="I228" t="inlineStr">
        <is>
          <t>construction</t>
        </is>
      </c>
      <c r="J228" t="inlineStr">
        <is>
          <t>Fort Worth</t>
        </is>
      </c>
      <c r="K228" t="inlineStr">
        <is>
          <t>Texas</t>
        </is>
      </c>
      <c r="L228" t="inlineStr">
        <is>
          <t>http://www.vadensacoustics.com</t>
        </is>
      </c>
      <c r="M228" t="inlineStr">
        <is>
          <t>http://www.linkedin.com/company/vadens-acoustics-&amp;-drywall</t>
        </is>
      </c>
      <c r="N228" t="inlineStr">
        <is>
          <t>1985</t>
        </is>
      </c>
    </row>
    <row r="229">
      <c r="A229" t="inlineStr">
        <is>
          <t>Tier 1 - Strong Fit</t>
        </is>
      </c>
      <c r="B229" t="inlineStr">
        <is>
          <t>Calsak Plastics</t>
        </is>
      </c>
      <c r="C229" t="inlineStr">
        <is>
          <t>66</t>
        </is>
      </c>
      <c r="D229" t="inlineStr">
        <is>
          <t>30000000</t>
        </is>
      </c>
      <c r="E229" s="3" t="inlineStr">
        <is>
          <t>Amanda Beal</t>
        </is>
      </c>
      <c r="F229" t="inlineStr">
        <is>
          <t>Self</t>
        </is>
      </c>
      <c r="G229" t="inlineStr">
        <is>
          <t>No</t>
        </is>
      </c>
      <c r="H229" t="inlineStr">
        <is>
          <t>Average</t>
        </is>
      </c>
      <c r="I229" t="inlineStr">
        <is>
          <t>plastics</t>
        </is>
      </c>
      <c r="J229" t="inlineStr">
        <is>
          <t>Irving</t>
        </is>
      </c>
      <c r="K229" t="inlineStr">
        <is>
          <t>Texas</t>
        </is>
      </c>
      <c r="L229" t="inlineStr">
        <is>
          <t>http://www.calsakplastics.com</t>
        </is>
      </c>
      <c r="M229" t="inlineStr">
        <is>
          <t>http://www.linkedin.com/company/calsak-plastics</t>
        </is>
      </c>
      <c r="N229" t="inlineStr">
        <is>
          <t>1972</t>
        </is>
      </c>
    </row>
    <row r="230">
      <c r="A230" t="inlineStr">
        <is>
          <t>Tier 1 - Strong Fit</t>
        </is>
      </c>
      <c r="B230" t="inlineStr">
        <is>
          <t>ESA - Electronic Security Association</t>
        </is>
      </c>
      <c r="C230" t="inlineStr">
        <is>
          <t>63</t>
        </is>
      </c>
      <c r="D230" t="inlineStr">
        <is>
          <t>25000000</t>
        </is>
      </c>
      <c r="E230" s="3" t="inlineStr">
        <is>
          <t>Not found</t>
        </is>
      </c>
      <c r="F230" t="inlineStr">
        <is>
          <t>Nonprofit</t>
        </is>
      </c>
      <c r="G230" t="inlineStr">
        <is>
          <t>No</t>
        </is>
      </c>
      <c r="H230" t="inlineStr">
        <is>
          <t>Good</t>
        </is>
      </c>
      <c r="I230" t="inlineStr">
        <is>
          <t>security &amp; investigations</t>
        </is>
      </c>
      <c r="J230" t="inlineStr">
        <is>
          <t>Dallas</t>
        </is>
      </c>
      <c r="K230" t="inlineStr">
        <is>
          <t>Texas</t>
        </is>
      </c>
      <c r="L230" t="inlineStr">
        <is>
          <t>http://www.esaweb.org</t>
        </is>
      </c>
      <c r="M230" t="inlineStr">
        <is>
          <t>http://www.linkedin.com/company/electronic-security-association-esa</t>
        </is>
      </c>
      <c r="N230" t="inlineStr">
        <is>
          <t>1948</t>
        </is>
      </c>
    </row>
    <row r="231">
      <c r="A231" t="inlineStr">
        <is>
          <t>Tier 1 - Strong Fit</t>
        </is>
      </c>
      <c r="B231" t="inlineStr">
        <is>
          <t>Straus Systems</t>
        </is>
      </c>
      <c r="C231" t="inlineStr">
        <is>
          <t>63</t>
        </is>
      </c>
      <c r="D231" t="inlineStr">
        <is>
          <t>10000000</t>
        </is>
      </c>
      <c r="E231" s="3" t="inlineStr">
        <is>
          <t>Paul Machemehl</t>
        </is>
      </c>
      <c r="F231" t="inlineStr">
        <is>
          <t>Self</t>
        </is>
      </c>
      <c r="G231" t="inlineStr">
        <is>
          <t>No</t>
        </is>
      </c>
      <c r="H231" t="inlineStr">
        <is>
          <t>Average</t>
        </is>
      </c>
      <c r="I231" t="inlineStr">
        <is>
          <t>construction</t>
        </is>
      </c>
      <c r="J231" t="inlineStr">
        <is>
          <t>Stafford</t>
        </is>
      </c>
      <c r="K231" t="inlineStr">
        <is>
          <t>Texas</t>
        </is>
      </c>
      <c r="L231" t="inlineStr">
        <is>
          <t>http://www.straussystems.com</t>
        </is>
      </c>
      <c r="M231" t="inlineStr">
        <is>
          <t>http://www.linkedin.com/company/straus-systems</t>
        </is>
      </c>
    </row>
    <row r="232">
      <c r="A232" t="inlineStr">
        <is>
          <t>Tier 1 - Strong Fit</t>
        </is>
      </c>
      <c r="B232" t="inlineStr">
        <is>
          <t>Sunbelt Waterproofing &amp; Restoration, LLC.</t>
        </is>
      </c>
      <c r="C232" t="inlineStr">
        <is>
          <t>62</t>
        </is>
      </c>
      <c r="D232" t="inlineStr">
        <is>
          <t>14668000</t>
        </is>
      </c>
      <c r="E232" s="2">
        <f>HYPERLINK("https://www.linkedin.com/in/calvin-carter-14ba1637","Calvin Carter")</f>
        <v/>
      </c>
      <c r="F232" t="inlineStr">
        <is>
          <t>Small PE</t>
        </is>
      </c>
      <c r="G232" t="inlineStr">
        <is>
          <t>No</t>
        </is>
      </c>
      <c r="H232" t="inlineStr">
        <is>
          <t>Average</t>
        </is>
      </c>
      <c r="I232" t="inlineStr">
        <is>
          <t>construction</t>
        </is>
      </c>
      <c r="J232" t="inlineStr">
        <is>
          <t>Dallas</t>
        </is>
      </c>
      <c r="K232" t="inlineStr">
        <is>
          <t>Texas</t>
        </is>
      </c>
      <c r="L232" t="inlineStr">
        <is>
          <t>http://www.sunbeltllc.com</t>
        </is>
      </c>
      <c r="M232" t="inlineStr">
        <is>
          <t>http://www.linkedin.com/company/sunbelt-waterproofing-restoration</t>
        </is>
      </c>
      <c r="N232" t="inlineStr">
        <is>
          <t>2011</t>
        </is>
      </c>
    </row>
    <row r="233">
      <c r="A233" t="inlineStr">
        <is>
          <t>Tier 1 - Strong Fit</t>
        </is>
      </c>
      <c r="B233" t="inlineStr">
        <is>
          <t>National Roofing Partners</t>
        </is>
      </c>
      <c r="C233" t="inlineStr">
        <is>
          <t>62</t>
        </is>
      </c>
      <c r="D233" t="inlineStr">
        <is>
          <t>36000000</t>
        </is>
      </c>
      <c r="E233" s="3" t="inlineStr">
        <is>
          <t>Steve Little</t>
        </is>
      </c>
      <c r="F233" t="inlineStr">
        <is>
          <t>Self</t>
        </is>
      </c>
      <c r="G233" t="inlineStr">
        <is>
          <t>No</t>
        </is>
      </c>
      <c r="H233" t="inlineStr">
        <is>
          <t>Good</t>
        </is>
      </c>
      <c r="I233" t="inlineStr">
        <is>
          <t>construction</t>
        </is>
      </c>
      <c r="J233" t="inlineStr">
        <is>
          <t>Coppell</t>
        </is>
      </c>
      <c r="K233" t="inlineStr">
        <is>
          <t>Texas</t>
        </is>
      </c>
      <c r="L233" t="inlineStr">
        <is>
          <t>http://www.nationalroofingpartners.com</t>
        </is>
      </c>
      <c r="M233" t="inlineStr">
        <is>
          <t>http://www.linkedin.com/company/national-roofing-partners</t>
        </is>
      </c>
      <c r="N233" t="inlineStr">
        <is>
          <t>2007</t>
        </is>
      </c>
    </row>
    <row r="234">
      <c r="A234" t="inlineStr">
        <is>
          <t>Tier 1 - Strong Fit</t>
        </is>
      </c>
      <c r="B234" t="inlineStr">
        <is>
          <t>Infinity Contractors</t>
        </is>
      </c>
      <c r="C234" t="inlineStr">
        <is>
          <t>62</t>
        </is>
      </c>
      <c r="D234" t="inlineStr">
        <is>
          <t>30000000</t>
        </is>
      </c>
      <c r="E234" s="3" t="inlineStr">
        <is>
          <t>Jim Salter</t>
        </is>
      </c>
      <c r="F234" t="inlineStr">
        <is>
          <t>Small PE</t>
        </is>
      </c>
      <c r="G234" t="inlineStr">
        <is>
          <t>No</t>
        </is>
      </c>
      <c r="H234" t="inlineStr">
        <is>
          <t>Average</t>
        </is>
      </c>
      <c r="I234" t="inlineStr">
        <is>
          <t>facilities services</t>
        </is>
      </c>
      <c r="J234" t="inlineStr">
        <is>
          <t>Fort Worth</t>
        </is>
      </c>
      <c r="K234" t="inlineStr">
        <is>
          <t>Texas</t>
        </is>
      </c>
      <c r="L234" t="inlineStr">
        <is>
          <t>http://www.infinitycontractors.com</t>
        </is>
      </c>
      <c r="M234" t="inlineStr">
        <is>
          <t>http://www.linkedin.com/company/infinity-contractors-int'l-ltd</t>
        </is>
      </c>
      <c r="N234" t="inlineStr">
        <is>
          <t>1994</t>
        </is>
      </c>
    </row>
    <row r="235">
      <c r="A235" t="inlineStr">
        <is>
          <t>Tier 1 - Strong Fit</t>
        </is>
      </c>
      <c r="B235" t="inlineStr">
        <is>
          <t>Dallas Mechanical Group, Inc.</t>
        </is>
      </c>
      <c r="C235" t="inlineStr">
        <is>
          <t>62</t>
        </is>
      </c>
      <c r="D235" t="inlineStr">
        <is>
          <t>46600000</t>
        </is>
      </c>
      <c r="E235" s="3" t="inlineStr">
        <is>
          <t>Not found</t>
        </is>
      </c>
      <c r="F235" t="inlineStr">
        <is>
          <t>Public</t>
        </is>
      </c>
      <c r="G235" t="inlineStr">
        <is>
          <t>No</t>
        </is>
      </c>
      <c r="H235" t="inlineStr">
        <is>
          <t>Average</t>
        </is>
      </c>
      <c r="I235" t="inlineStr">
        <is>
          <t>construction</t>
        </is>
      </c>
      <c r="J235" t="inlineStr">
        <is>
          <t>Dallas</t>
        </is>
      </c>
      <c r="K235" t="inlineStr">
        <is>
          <t>Texas</t>
        </is>
      </c>
      <c r="L235" t="inlineStr">
        <is>
          <t>http://www.dallasmechanicalgroup.com</t>
        </is>
      </c>
      <c r="M235" t="inlineStr">
        <is>
          <t>http://www.linkedin.com/company/dallas-mechanical-group-llc</t>
        </is>
      </c>
      <c r="N235" t="inlineStr">
        <is>
          <t>2009</t>
        </is>
      </c>
    </row>
    <row r="236">
      <c r="A236" t="inlineStr">
        <is>
          <t>Tier 1 - Strong Fit</t>
        </is>
      </c>
      <c r="B236" t="inlineStr">
        <is>
          <t>Smith Thompson Home Services</t>
        </is>
      </c>
      <c r="C236" t="inlineStr">
        <is>
          <t>61</t>
        </is>
      </c>
      <c r="D236" t="inlineStr">
        <is>
          <t>37000000</t>
        </is>
      </c>
      <c r="E236" s="2">
        <f>HYPERLINK("https://www.linkedin.com/in/mark-s-thompson-32628914","Mark S. Thompson")</f>
        <v/>
      </c>
      <c r="F236" t="inlineStr">
        <is>
          <t>Family</t>
        </is>
      </c>
      <c r="G236" t="inlineStr">
        <is>
          <t>No</t>
        </is>
      </c>
      <c r="H236" t="inlineStr">
        <is>
          <t>Good</t>
        </is>
      </c>
      <c r="I236" t="inlineStr">
        <is>
          <t>security &amp; investigations</t>
        </is>
      </c>
      <c r="J236" t="inlineStr">
        <is>
          <t>Plano</t>
        </is>
      </c>
      <c r="K236" t="inlineStr">
        <is>
          <t>Texas</t>
        </is>
      </c>
      <c r="L236" t="inlineStr">
        <is>
          <t>http://www.smiththompson.com</t>
        </is>
      </c>
      <c r="M236" t="inlineStr">
        <is>
          <t>http://www.linkedin.com/company/smith-thompson-home-services</t>
        </is>
      </c>
      <c r="N236" t="inlineStr">
        <is>
          <t>1978</t>
        </is>
      </c>
    </row>
    <row r="237">
      <c r="A237" t="inlineStr">
        <is>
          <t>Tier 1 - Strong Fit</t>
        </is>
      </c>
      <c r="B237" t="inlineStr">
        <is>
          <t>GCATS Telecom &amp; Critical Power Services</t>
        </is>
      </c>
      <c r="C237" t="inlineStr">
        <is>
          <t>60</t>
        </is>
      </c>
      <c r="D237" t="inlineStr">
        <is>
          <t>39325000</t>
        </is>
      </c>
      <c r="E237" s="2">
        <f>HYPERLINK("https://www.linkedin.com/in/ryanrichardlamb","Ryan Lamb")</f>
        <v/>
      </c>
      <c r="F237" t="inlineStr">
        <is>
          <t>Self</t>
        </is>
      </c>
      <c r="G237" t="inlineStr">
        <is>
          <t>No</t>
        </is>
      </c>
      <c r="H237" t="inlineStr">
        <is>
          <t>Average</t>
        </is>
      </c>
      <c r="I237" t="inlineStr">
        <is>
          <t>construction</t>
        </is>
      </c>
      <c r="J237" t="inlineStr">
        <is>
          <t>Dallas</t>
        </is>
      </c>
      <c r="K237" t="inlineStr">
        <is>
          <t>Texas</t>
        </is>
      </c>
      <c r="L237" t="inlineStr">
        <is>
          <t>http://www.gcats.com</t>
        </is>
      </c>
      <c r="M237" t="inlineStr">
        <is>
          <t>http://www.linkedin.com/company/gcats-telecom-&amp;-critical-power-services</t>
        </is>
      </c>
      <c r="N237" t="inlineStr">
        <is>
          <t>2005</t>
        </is>
      </c>
    </row>
    <row r="238">
      <c r="A238" t="inlineStr">
        <is>
          <t>Tier 1 - Strong Fit</t>
        </is>
      </c>
      <c r="B238" t="inlineStr">
        <is>
          <t>Amber Electrical Contractors, Inc.</t>
        </is>
      </c>
      <c r="C238" t="inlineStr">
        <is>
          <t>59</t>
        </is>
      </c>
      <c r="D238" t="inlineStr">
        <is>
          <t>38163000</t>
        </is>
      </c>
      <c r="E238" s="3" t="inlineStr">
        <is>
          <t>Nathan Nichols</t>
        </is>
      </c>
      <c r="F238" t="inlineStr">
        <is>
          <t>Self</t>
        </is>
      </c>
      <c r="G238" t="inlineStr">
        <is>
          <t>No</t>
        </is>
      </c>
      <c r="H238" t="inlineStr">
        <is>
          <t>Average</t>
        </is>
      </c>
      <c r="I238" t="inlineStr">
        <is>
          <t>construction</t>
        </is>
      </c>
      <c r="J238" t="inlineStr">
        <is>
          <t>Irving</t>
        </is>
      </c>
      <c r="K238" t="inlineStr">
        <is>
          <t>Texas</t>
        </is>
      </c>
      <c r="L238" t="inlineStr">
        <is>
          <t>http://www.amberelectrical.com</t>
        </is>
      </c>
      <c r="M238" t="inlineStr">
        <is>
          <t>http://www.linkedin.com/company/amber-electrical-contractors</t>
        </is>
      </c>
      <c r="N238" t="inlineStr">
        <is>
          <t>1989</t>
        </is>
      </c>
    </row>
    <row r="239">
      <c r="A239" t="inlineStr">
        <is>
          <t>Tier 1 - Strong Fit</t>
        </is>
      </c>
      <c r="B239" t="inlineStr">
        <is>
          <t>North Water District Laboratory Services, Inc.</t>
        </is>
      </c>
      <c r="C239" t="inlineStr">
        <is>
          <t>57</t>
        </is>
      </c>
      <c r="D239" t="inlineStr">
        <is>
          <t>10000000</t>
        </is>
      </c>
      <c r="E239" s="2">
        <f>HYPERLINK("https://www.linkedin.com/in/monica-martin-a6314965","Monica Martin")</f>
        <v/>
      </c>
      <c r="F239" t="inlineStr">
        <is>
          <t>Self</t>
        </is>
      </c>
      <c r="G239" t="inlineStr">
        <is>
          <t>No</t>
        </is>
      </c>
      <c r="H239" t="inlineStr">
        <is>
          <t>Average</t>
        </is>
      </c>
      <c r="I239" t="inlineStr">
        <is>
          <t>environmental services</t>
        </is>
      </c>
      <c r="J239" t="inlineStr">
        <is>
          <t>Conroe</t>
        </is>
      </c>
      <c r="K239" t="inlineStr">
        <is>
          <t>Texas</t>
        </is>
      </c>
      <c r="L239" t="inlineStr">
        <is>
          <t>http://www.nwdls.com</t>
        </is>
      </c>
      <c r="M239" t="inlineStr">
        <is>
          <t>http://www.linkedin.com/company/north-water-district-lab-services-inc</t>
        </is>
      </c>
      <c r="N239" t="inlineStr">
        <is>
          <t>1974</t>
        </is>
      </c>
    </row>
    <row r="240">
      <c r="A240" t="inlineStr">
        <is>
          <t>Tier 1 - Strong Fit</t>
        </is>
      </c>
      <c r="B240" t="inlineStr">
        <is>
          <t>ACS Commercial Services, LLC</t>
        </is>
      </c>
      <c r="C240" t="inlineStr">
        <is>
          <t>57</t>
        </is>
      </c>
      <c r="D240" t="inlineStr">
        <is>
          <t>14883000</t>
        </is>
      </c>
      <c r="E240" s="3" t="inlineStr">
        <is>
          <t>Not found</t>
        </is>
      </c>
      <c r="F240" t="inlineStr">
        <is>
          <t>Self</t>
        </is>
      </c>
      <c r="G240" t="inlineStr">
        <is>
          <t>No</t>
        </is>
      </c>
      <c r="H240" t="inlineStr">
        <is>
          <t>Average</t>
        </is>
      </c>
      <c r="I240" t="inlineStr">
        <is>
          <t>facilities services</t>
        </is>
      </c>
      <c r="J240" t="inlineStr">
        <is>
          <t>Houston</t>
        </is>
      </c>
      <c r="K240" t="inlineStr">
        <is>
          <t>Texas</t>
        </is>
      </c>
      <c r="L240" t="inlineStr">
        <is>
          <t>http://www.acsfixit.com</t>
        </is>
      </c>
      <c r="M240" t="inlineStr">
        <is>
          <t>http://www.linkedin.com/company/acscommercialservices</t>
        </is>
      </c>
      <c r="N240" t="inlineStr">
        <is>
          <t>1994</t>
        </is>
      </c>
    </row>
    <row r="241">
      <c r="A241" t="inlineStr">
        <is>
          <t>Tier 1 - Strong Fit</t>
        </is>
      </c>
      <c r="B241" t="inlineStr">
        <is>
          <t>Cothron's Security Professionals</t>
        </is>
      </c>
      <c r="C241" t="inlineStr">
        <is>
          <t>57</t>
        </is>
      </c>
      <c r="D241" t="inlineStr">
        <is>
          <t>18953000</t>
        </is>
      </c>
      <c r="E241" s="3" t="inlineStr">
        <is>
          <t>Steve Cothron</t>
        </is>
      </c>
      <c r="F241" t="inlineStr">
        <is>
          <t>Family</t>
        </is>
      </c>
      <c r="G241" t="inlineStr">
        <is>
          <t>No</t>
        </is>
      </c>
      <c r="H241" t="inlineStr">
        <is>
          <t>Average</t>
        </is>
      </c>
      <c r="I241" t="inlineStr">
        <is>
          <t>security &amp; investigations</t>
        </is>
      </c>
      <c r="J241" t="inlineStr">
        <is>
          <t>Austin</t>
        </is>
      </c>
      <c r="K241" t="inlineStr">
        <is>
          <t>Texas</t>
        </is>
      </c>
      <c r="L241" t="inlineStr">
        <is>
          <t>http://www.cothrons.com</t>
        </is>
      </c>
      <c r="M241" t="inlineStr">
        <is>
          <t>http://www.linkedin.com/company/cothronsecurity</t>
        </is>
      </c>
      <c r="N241" t="inlineStr">
        <is>
          <t>1948</t>
        </is>
      </c>
    </row>
    <row r="242">
      <c r="A242" t="inlineStr">
        <is>
          <t>Tier 1 - Strong Fit</t>
        </is>
      </c>
      <c r="B242" t="inlineStr">
        <is>
          <t>Texas Southwest Floors, Inc.</t>
        </is>
      </c>
      <c r="C242" t="inlineStr">
        <is>
          <t>56</t>
        </is>
      </c>
      <c r="D242" t="inlineStr">
        <is>
          <t>47600000</t>
        </is>
      </c>
      <c r="E242" s="3" t="inlineStr">
        <is>
          <t>Tim Williams</t>
        </is>
      </c>
      <c r="F242" t="inlineStr">
        <is>
          <t>Self</t>
        </is>
      </c>
      <c r="G242" t="inlineStr">
        <is>
          <t>No</t>
        </is>
      </c>
      <c r="H242" t="inlineStr">
        <is>
          <t>Average</t>
        </is>
      </c>
      <c r="I242" t="inlineStr">
        <is>
          <t>wholesale</t>
        </is>
      </c>
      <c r="J242" t="inlineStr">
        <is>
          <t>Carrollton</t>
        </is>
      </c>
      <c r="K242" t="inlineStr">
        <is>
          <t>Texas</t>
        </is>
      </c>
      <c r="L242" t="inlineStr">
        <is>
          <t>http://www.texasswfloors.com</t>
        </is>
      </c>
      <c r="M242" t="inlineStr">
        <is>
          <t>http://www.linkedin.com/company/texas-southwest-floors-inc-</t>
        </is>
      </c>
      <c r="N242" t="inlineStr">
        <is>
          <t>1995</t>
        </is>
      </c>
    </row>
    <row r="243">
      <c r="A243" t="inlineStr">
        <is>
          <t>Tier 1 - Strong Fit</t>
        </is>
      </c>
      <c r="B243" t="inlineStr">
        <is>
          <t>On Time Experts</t>
        </is>
      </c>
      <c r="C243" t="inlineStr">
        <is>
          <t>56</t>
        </is>
      </c>
      <c r="D243" t="inlineStr">
        <is>
          <t>11900000</t>
        </is>
      </c>
      <c r="E243" s="3" t="inlineStr">
        <is>
          <t>Randy Kelley</t>
        </is>
      </c>
      <c r="F243" t="inlineStr">
        <is>
          <t>Family</t>
        </is>
      </c>
      <c r="G243" t="inlineStr">
        <is>
          <t>No</t>
        </is>
      </c>
      <c r="H243" t="inlineStr">
        <is>
          <t>Average</t>
        </is>
      </c>
      <c r="I243" t="inlineStr">
        <is>
          <t>consumer services</t>
        </is>
      </c>
      <c r="J243" t="inlineStr">
        <is>
          <t>Dallas</t>
        </is>
      </c>
      <c r="K243" t="inlineStr">
        <is>
          <t>Texas</t>
        </is>
      </c>
      <c r="L243" t="inlineStr">
        <is>
          <t>http://www.theontimeexperts.com</t>
        </is>
      </c>
      <c r="M243" t="inlineStr">
        <is>
          <t>http://www.linkedin.com/company/on-time-experts</t>
        </is>
      </c>
      <c r="N243" t="inlineStr">
        <is>
          <t>1967</t>
        </is>
      </c>
    </row>
    <row r="244">
      <c r="A244" t="inlineStr">
        <is>
          <t>Tier 1 - Strong Fit</t>
        </is>
      </c>
      <c r="B244" t="inlineStr">
        <is>
          <t>SupplyApp.com</t>
        </is>
      </c>
      <c r="C244" t="inlineStr">
        <is>
          <t>56</t>
        </is>
      </c>
      <c r="D244" t="inlineStr">
        <is>
          <t>23000000</t>
        </is>
      </c>
      <c r="E244" s="3" t="inlineStr">
        <is>
          <t>Not found</t>
        </is>
      </c>
      <c r="F244" t="inlineStr">
        <is>
          <t>Self</t>
        </is>
      </c>
      <c r="G244" t="inlineStr">
        <is>
          <t>No</t>
        </is>
      </c>
      <c r="H244" t="inlineStr">
        <is>
          <t>Average</t>
        </is>
      </c>
      <c r="I244" t="inlineStr">
        <is>
          <t>oil &amp; energy</t>
        </is>
      </c>
      <c r="J244" t="inlineStr">
        <is>
          <t>Houston</t>
        </is>
      </c>
      <c r="K244" t="inlineStr">
        <is>
          <t>Texas</t>
        </is>
      </c>
      <c r="L244" t="inlineStr">
        <is>
          <t>http://www.supplyapp.com</t>
        </is>
      </c>
      <c r="M244" t="inlineStr">
        <is>
          <t>http://www.linkedin.com/company/supplyapp</t>
        </is>
      </c>
      <c r="N244" t="inlineStr">
        <is>
          <t>1989</t>
        </is>
      </c>
    </row>
    <row r="245">
      <c r="A245" t="inlineStr">
        <is>
          <t>Tier 1 - Strong Fit</t>
        </is>
      </c>
      <c r="B245" t="inlineStr">
        <is>
          <t>Village Plumbing, Air &amp; Electric</t>
        </is>
      </c>
      <c r="C245" t="inlineStr">
        <is>
          <t>55</t>
        </is>
      </c>
      <c r="D245" t="inlineStr">
        <is>
          <t>15800000</t>
        </is>
      </c>
      <c r="E245" s="2">
        <f>HYPERLINK("https://www.linkedin.com/in/monica-ryan-78241585","Monica Ryan")</f>
        <v/>
      </c>
      <c r="F245" t="inlineStr">
        <is>
          <t>Small PE</t>
        </is>
      </c>
      <c r="G245" t="inlineStr">
        <is>
          <t>No</t>
        </is>
      </c>
      <c r="H245" t="inlineStr">
        <is>
          <t>Good</t>
        </is>
      </c>
      <c r="I245" t="inlineStr">
        <is>
          <t>consumer services</t>
        </is>
      </c>
      <c r="J245" t="inlineStr">
        <is>
          <t>Houston</t>
        </is>
      </c>
      <c r="K245" t="inlineStr">
        <is>
          <t>Texas</t>
        </is>
      </c>
      <c r="L245" t="inlineStr">
        <is>
          <t>http://www.villageplumbing.com</t>
        </is>
      </c>
      <c r="M245" t="inlineStr">
        <is>
          <t>http://www.linkedin.com/company/villageplumbingandair</t>
        </is>
      </c>
      <c r="N245" t="inlineStr">
        <is>
          <t>1946</t>
        </is>
      </c>
    </row>
    <row r="246">
      <c r="A246" t="inlineStr">
        <is>
          <t>Tier 1 - Strong Fit</t>
        </is>
      </c>
      <c r="B246" t="inlineStr">
        <is>
          <t>Siteaware</t>
        </is>
      </c>
      <c r="C246" t="inlineStr">
        <is>
          <t>54</t>
        </is>
      </c>
      <c r="D246" t="inlineStr">
        <is>
          <t>15500000</t>
        </is>
      </c>
      <c r="E246" s="3" t="inlineStr">
        <is>
          <t>Not found</t>
        </is>
      </c>
      <c r="F246" t="inlineStr">
        <is>
          <t>VC-backed</t>
        </is>
      </c>
      <c r="G246" t="inlineStr">
        <is>
          <t>No</t>
        </is>
      </c>
      <c r="H246" t="inlineStr">
        <is>
          <t>Good</t>
        </is>
      </c>
      <c r="I246" t="inlineStr">
        <is>
          <t>construction</t>
        </is>
      </c>
      <c r="J246" t="inlineStr">
        <is>
          <t>Austin</t>
        </is>
      </c>
      <c r="K246" t="inlineStr">
        <is>
          <t>Texas</t>
        </is>
      </c>
      <c r="L246" t="inlineStr">
        <is>
          <t>http://www.siteaware.com</t>
        </is>
      </c>
      <c r="M246" t="inlineStr">
        <is>
          <t>http://www.linkedin.com/company/siteawareinc</t>
        </is>
      </c>
      <c r="N246" t="inlineStr">
        <is>
          <t>2015</t>
        </is>
      </c>
    </row>
    <row r="247">
      <c r="A247" t="inlineStr">
        <is>
          <t>Tier 1 - Strong Fit</t>
        </is>
      </c>
      <c r="B247" t="inlineStr">
        <is>
          <t>ProSep</t>
        </is>
      </c>
      <c r="C247" t="inlineStr">
        <is>
          <t>54</t>
        </is>
      </c>
      <c r="D247" t="inlineStr">
        <is>
          <t>31000000</t>
        </is>
      </c>
      <c r="E247" s="2">
        <f>HYPERLINK("https://www.linkedin.com/in/gregory-scott-hallahan-74bb4339","Gregory Hallahan")</f>
        <v/>
      </c>
      <c r="F247" t="inlineStr">
        <is>
          <t>VC-backed</t>
        </is>
      </c>
      <c r="G247" t="inlineStr">
        <is>
          <t>No</t>
        </is>
      </c>
      <c r="H247" t="inlineStr">
        <is>
          <t>Average</t>
        </is>
      </c>
      <c r="I247" t="inlineStr">
        <is>
          <t>oil &amp; energy</t>
        </is>
      </c>
      <c r="J247" t="inlineStr">
        <is>
          <t>Houston</t>
        </is>
      </c>
      <c r="K247" t="inlineStr">
        <is>
          <t>Texas</t>
        </is>
      </c>
      <c r="L247" t="inlineStr">
        <is>
          <t>http://www.prosep.com</t>
        </is>
      </c>
      <c r="M247" t="inlineStr">
        <is>
          <t>http://www.linkedin.com/company/prosep-inc</t>
        </is>
      </c>
      <c r="N247" t="inlineStr">
        <is>
          <t>2005</t>
        </is>
      </c>
    </row>
    <row r="248">
      <c r="A248" t="inlineStr">
        <is>
          <t>Tier 1 - Strong Fit</t>
        </is>
      </c>
      <c r="B248" t="inlineStr">
        <is>
          <t>A&amp;C Plastics, Inc.</t>
        </is>
      </c>
      <c r="C248" t="inlineStr">
        <is>
          <t>54</t>
        </is>
      </c>
      <c r="D248" t="inlineStr">
        <is>
          <t>43335000</t>
        </is>
      </c>
      <c r="E248" s="2">
        <f>HYPERLINK("https://www.linkedin.com/in/katie-clapp-87727816","Carolyn Faulk")</f>
        <v/>
      </c>
      <c r="F248" t="inlineStr">
        <is>
          <t>Family</t>
        </is>
      </c>
      <c r="G248" t="inlineStr">
        <is>
          <t>No</t>
        </is>
      </c>
      <c r="H248" t="inlineStr">
        <is>
          <t>Good</t>
        </is>
      </c>
      <c r="I248" t="inlineStr">
        <is>
          <t>plastics</t>
        </is>
      </c>
      <c r="J248" t="inlineStr">
        <is>
          <t>Houston</t>
        </is>
      </c>
      <c r="K248" t="inlineStr">
        <is>
          <t>Texas</t>
        </is>
      </c>
      <c r="L248" t="inlineStr">
        <is>
          <t>http://www.acplasticsinc.com</t>
        </is>
      </c>
      <c r="M248" t="inlineStr">
        <is>
          <t>http://www.linkedin.com/company/a-&amp;-c-plastic-inc.</t>
        </is>
      </c>
      <c r="N248" t="inlineStr">
        <is>
          <t>1973</t>
        </is>
      </c>
    </row>
    <row r="249">
      <c r="A249" t="inlineStr">
        <is>
          <t>Tier 1 - Strong Fit</t>
        </is>
      </c>
      <c r="B249" t="inlineStr">
        <is>
          <t>VRL Laboratories</t>
        </is>
      </c>
      <c r="C249" t="inlineStr">
        <is>
          <t>52</t>
        </is>
      </c>
      <c r="D249" t="inlineStr">
        <is>
          <t>23447000</t>
        </is>
      </c>
      <c r="E249" s="3" t="inlineStr">
        <is>
          <t>Ron Berger</t>
        </is>
      </c>
      <c r="F249" t="inlineStr">
        <is>
          <t>Self</t>
        </is>
      </c>
      <c r="G249" t="inlineStr">
        <is>
          <t>No</t>
        </is>
      </c>
      <c r="H249" t="inlineStr">
        <is>
          <t>Average</t>
        </is>
      </c>
      <c r="I249" t="inlineStr">
        <is>
          <t>research</t>
        </is>
      </c>
      <c r="J249" t="inlineStr">
        <is>
          <t>San Antonio</t>
        </is>
      </c>
      <c r="K249" t="inlineStr">
        <is>
          <t>Texas</t>
        </is>
      </c>
      <c r="L249" t="inlineStr">
        <is>
          <t>http://www.vrl.net</t>
        </is>
      </c>
      <c r="M249" t="inlineStr">
        <is>
          <t>http://www.linkedin.com/company/vrl-diagnostics</t>
        </is>
      </c>
    </row>
    <row r="250">
      <c r="A250" t="inlineStr">
        <is>
          <t>Tier 1 - Strong Fit</t>
        </is>
      </c>
      <c r="B250" t="inlineStr">
        <is>
          <t>Defense Consulting Services, LLC</t>
        </is>
      </c>
      <c r="C250" t="inlineStr">
        <is>
          <t>52</t>
        </is>
      </c>
      <c r="D250" t="inlineStr">
        <is>
          <t>15445000</t>
        </is>
      </c>
      <c r="E250" s="2">
        <f>HYPERLINK("https://www.linkedin.com/in/frank-m-crowder-jr","Frank M. Crowder Jr.")</f>
        <v/>
      </c>
      <c r="F250" t="inlineStr">
        <is>
          <t>Self</t>
        </is>
      </c>
      <c r="G250" t="inlineStr">
        <is>
          <t>No</t>
        </is>
      </c>
      <c r="H250" t="inlineStr">
        <is>
          <t>Average</t>
        </is>
      </c>
      <c r="I250" t="inlineStr">
        <is>
          <t>defense &amp; space</t>
        </is>
      </c>
      <c r="J250" t="inlineStr">
        <is>
          <t>San Antonio</t>
        </is>
      </c>
      <c r="K250" t="inlineStr">
        <is>
          <t>Texas</t>
        </is>
      </c>
      <c r="L250" t="inlineStr">
        <is>
          <t>http://www.defenseconsultingservices.com</t>
        </is>
      </c>
      <c r="M250" t="inlineStr">
        <is>
          <t>http://www.linkedin.com/company/defense-consulting-services</t>
        </is>
      </c>
      <c r="N250" t="inlineStr">
        <is>
          <t>2011</t>
        </is>
      </c>
    </row>
    <row r="251">
      <c r="A251" t="inlineStr">
        <is>
          <t>Tier 1 - Strong Fit</t>
        </is>
      </c>
      <c r="B251" t="inlineStr">
        <is>
          <t>Frymire Services, Inc.</t>
        </is>
      </c>
      <c r="C251" t="inlineStr">
        <is>
          <t>51</t>
        </is>
      </c>
      <c r="D251" t="inlineStr">
        <is>
          <t>11496000</t>
        </is>
      </c>
      <c r="E251" s="3" t="inlineStr">
        <is>
          <t>Alex Black</t>
        </is>
      </c>
      <c r="F251" t="inlineStr">
        <is>
          <t>Small PE</t>
        </is>
      </c>
      <c r="G251" t="inlineStr">
        <is>
          <t>No</t>
        </is>
      </c>
      <c r="H251" t="inlineStr">
        <is>
          <t>Average</t>
        </is>
      </c>
      <c r="I251" t="inlineStr">
        <is>
          <t>facilities services</t>
        </is>
      </c>
      <c r="J251" t="inlineStr">
        <is>
          <t>Dallas</t>
        </is>
      </c>
      <c r="K251" t="inlineStr">
        <is>
          <t>Texas</t>
        </is>
      </c>
      <c r="L251" t="inlineStr">
        <is>
          <t>http://www.frymire.com</t>
        </is>
      </c>
      <c r="M251" t="inlineStr">
        <is>
          <t>http://www.linkedin.com/company/frymire-services</t>
        </is>
      </c>
      <c r="N251" t="inlineStr">
        <is>
          <t>1950</t>
        </is>
      </c>
    </row>
    <row r="252">
      <c r="A252" t="inlineStr">
        <is>
          <t>Tier 1 - Strong Fit</t>
        </is>
      </c>
      <c r="B252" t="inlineStr">
        <is>
          <t>J Connor Consulting, Inc</t>
        </is>
      </c>
      <c r="C252" t="inlineStr">
        <is>
          <t>51</t>
        </is>
      </c>
      <c r="D252" t="inlineStr">
        <is>
          <t>17130000</t>
        </is>
      </c>
      <c r="E252" s="2">
        <f>HYPERLINK("https://www.linkedin.com/in/lance-labiche-p-e-a78188a1","Lance Labiche")</f>
        <v/>
      </c>
      <c r="F252" t="inlineStr">
        <is>
          <t>Self</t>
        </is>
      </c>
      <c r="G252" t="inlineStr">
        <is>
          <t>No</t>
        </is>
      </c>
      <c r="H252" t="inlineStr">
        <is>
          <t>Average</t>
        </is>
      </c>
      <c r="I252" t="inlineStr">
        <is>
          <t>oil &amp; energy</t>
        </is>
      </c>
      <c r="J252" t="inlineStr">
        <is>
          <t>Houston</t>
        </is>
      </c>
      <c r="K252" t="inlineStr">
        <is>
          <t>Texas</t>
        </is>
      </c>
      <c r="L252" t="inlineStr">
        <is>
          <t>http://www.jccteam.com</t>
        </is>
      </c>
      <c r="M252" t="inlineStr">
        <is>
          <t>http://www.linkedin.com/company/j-connor-consulting</t>
        </is>
      </c>
      <c r="N252" t="inlineStr">
        <is>
          <t>1981</t>
        </is>
      </c>
    </row>
    <row r="253">
      <c r="A253" t="inlineStr">
        <is>
          <t>Tier 1 - Strong Fit</t>
        </is>
      </c>
      <c r="B253" t="inlineStr">
        <is>
          <t>Reny Company</t>
        </is>
      </c>
      <c r="C253" t="inlineStr">
        <is>
          <t>50</t>
        </is>
      </c>
      <c r="D253" t="inlineStr">
        <is>
          <t>14000000</t>
        </is>
      </c>
      <c r="E253" s="3" t="inlineStr">
        <is>
          <t>Roxanne Brust</t>
        </is>
      </c>
      <c r="F253" t="inlineStr">
        <is>
          <t>Self</t>
        </is>
      </c>
      <c r="G253" t="inlineStr">
        <is>
          <t>No</t>
        </is>
      </c>
      <c r="H253" t="inlineStr">
        <is>
          <t>Average</t>
        </is>
      </c>
      <c r="I253" t="inlineStr">
        <is>
          <t>hospital &amp; health care</t>
        </is>
      </c>
      <c r="J253" t="inlineStr">
        <is>
          <t>Plano</t>
        </is>
      </c>
      <c r="K253" t="inlineStr">
        <is>
          <t>Texas</t>
        </is>
      </c>
      <c r="L253" t="inlineStr">
        <is>
          <t>http://www.renycompany.com</t>
        </is>
      </c>
      <c r="M253" t="inlineStr">
        <is>
          <t>http://www.linkedin.com/company/reny-company</t>
        </is>
      </c>
      <c r="N253" t="inlineStr">
        <is>
          <t>1996</t>
        </is>
      </c>
    </row>
    <row r="254">
      <c r="A254" t="inlineStr">
        <is>
          <t>Tier 1 - Strong Fit</t>
        </is>
      </c>
      <c r="B254" t="inlineStr">
        <is>
          <t>Metro Mechanical, Inc</t>
        </is>
      </c>
      <c r="C254" t="inlineStr">
        <is>
          <t>50</t>
        </is>
      </c>
      <c r="D254" t="inlineStr">
        <is>
          <t>32546000</t>
        </is>
      </c>
      <c r="E254" s="3" t="inlineStr">
        <is>
          <t>Chris</t>
        </is>
      </c>
      <c r="F254" t="inlineStr">
        <is>
          <t>Self</t>
        </is>
      </c>
      <c r="G254" t="inlineStr">
        <is>
          <t>No</t>
        </is>
      </c>
      <c r="H254" t="inlineStr">
        <is>
          <t>Average</t>
        </is>
      </c>
      <c r="I254" t="inlineStr">
        <is>
          <t>environmental services</t>
        </is>
      </c>
      <c r="J254" t="inlineStr">
        <is>
          <t>Mesquite</t>
        </is>
      </c>
      <c r="K254" t="inlineStr">
        <is>
          <t>Texas</t>
        </is>
      </c>
      <c r="L254" t="inlineStr">
        <is>
          <t>http://www.metromechanicalinc.com</t>
        </is>
      </c>
      <c r="M254" t="inlineStr">
        <is>
          <t>http://www.linkedin.com/company/metro-mechanical-inc</t>
        </is>
      </c>
    </row>
    <row r="255">
      <c r="A255" t="inlineStr">
        <is>
          <t>Tier 1 - Strong Fit</t>
        </is>
      </c>
      <c r="B255" t="inlineStr">
        <is>
          <t>The Power Company USA LLC</t>
        </is>
      </c>
      <c r="C255" t="inlineStr">
        <is>
          <t>50</t>
        </is>
      </c>
      <c r="D255" t="inlineStr">
        <is>
          <t>42466000</t>
        </is>
      </c>
      <c r="E255" s="3" t="inlineStr">
        <is>
          <t>Not found</t>
        </is>
      </c>
      <c r="F255" t="inlineStr">
        <is>
          <t>Self</t>
        </is>
      </c>
      <c r="G255" t="inlineStr">
        <is>
          <t>No</t>
        </is>
      </c>
      <c r="H255" t="inlineStr">
        <is>
          <t>Good</t>
        </is>
      </c>
      <c r="I255" t="inlineStr">
        <is>
          <t>management consulting</t>
        </is>
      </c>
      <c r="J255" t="inlineStr">
        <is>
          <t>Austin</t>
        </is>
      </c>
      <c r="K255" t="inlineStr">
        <is>
          <t>Texas</t>
        </is>
      </c>
      <c r="L255" t="inlineStr">
        <is>
          <t>http://www.thepowercompany.com</t>
        </is>
      </c>
      <c r="M255" t="inlineStr">
        <is>
          <t>http://www.linkedin.com/company/the-power-company-usa-llc</t>
        </is>
      </c>
      <c r="N255" t="inlineStr">
        <is>
          <t>2011</t>
        </is>
      </c>
    </row>
    <row r="256">
      <c r="A256" t="inlineStr">
        <is>
          <t>Tier 1 - Strong Fit</t>
        </is>
      </c>
      <c r="B256" t="inlineStr">
        <is>
          <t>Hull Supply Co.</t>
        </is>
      </c>
      <c r="C256" t="inlineStr">
        <is>
          <t>120</t>
        </is>
      </c>
      <c r="D256" t="inlineStr">
        <is>
          <t>31331000</t>
        </is>
      </c>
      <c r="E256" s="2">
        <f>HYPERLINK("https://www.linkedin.com/in/rick-hull-a8ab416","Rick Hull")</f>
        <v/>
      </c>
      <c r="F256" t="inlineStr">
        <is>
          <t>Self</t>
        </is>
      </c>
      <c r="G256" t="inlineStr">
        <is>
          <t>No</t>
        </is>
      </c>
      <c r="H256" t="inlineStr">
        <is>
          <t>Average</t>
        </is>
      </c>
      <c r="I256" t="inlineStr">
        <is>
          <t>building materials</t>
        </is>
      </c>
      <c r="L256" t="inlineStr">
        <is>
          <t>http://www.hullsupply.com</t>
        </is>
      </c>
      <c r="M256" t="inlineStr">
        <is>
          <t>http://www.linkedin.com/company/hullsupply</t>
        </is>
      </c>
      <c r="N256" t="inlineStr">
        <is>
          <t>1985</t>
        </is>
      </c>
    </row>
    <row r="258">
      <c r="A258" s="4" t="n"/>
    </row>
    <row r="259">
      <c r="A259" s="4" t="inlineStr">
        <is>
          <t>ICP-FIT ACCOUNTS — No CTO + Self/Family/Small PE (216 companies)</t>
        </is>
      </c>
    </row>
    <row r="260">
      <c r="A260" s="5" t="inlineStr">
        <is>
          <t>#</t>
        </is>
      </c>
      <c r="B260" s="5" t="inlineStr">
        <is>
          <t>Company</t>
        </is>
      </c>
      <c r="C260" s="5" t="inlineStr">
        <is>
          <t>Ownership</t>
        </is>
      </c>
    </row>
    <row r="261">
      <c r="A261" t="n">
        <v>1</v>
      </c>
      <c r="B261" t="inlineStr">
        <is>
          <t>Parker &amp; Sons</t>
        </is>
      </c>
      <c r="C261" t="inlineStr">
        <is>
          <t>Small PE</t>
        </is>
      </c>
    </row>
    <row r="262">
      <c r="A262" t="n">
        <v>2</v>
      </c>
      <c r="B262" t="inlineStr">
        <is>
          <t>IMCOR - Interstate Mechanical, LLC</t>
        </is>
      </c>
      <c r="C262" t="inlineStr">
        <is>
          <t>Self</t>
        </is>
      </c>
    </row>
    <row r="263">
      <c r="A263" t="n">
        <v>3</v>
      </c>
      <c r="B263" t="inlineStr">
        <is>
          <t>Tel Tech Networks</t>
        </is>
      </c>
      <c r="C263" t="inlineStr">
        <is>
          <t>Self</t>
        </is>
      </c>
    </row>
    <row r="264">
      <c r="A264" t="n">
        <v>4</v>
      </c>
      <c r="B264" t="inlineStr">
        <is>
          <t>Safeguard Security &amp; Communications</t>
        </is>
      </c>
      <c r="C264" t="inlineStr">
        <is>
          <t>Small PE</t>
        </is>
      </c>
    </row>
    <row r="265">
      <c r="A265" t="n">
        <v>5</v>
      </c>
      <c r="B265" t="inlineStr">
        <is>
          <t>Earthworks Environmental, LLC</t>
        </is>
      </c>
      <c r="C265" t="inlineStr">
        <is>
          <t>Self</t>
        </is>
      </c>
    </row>
    <row r="266">
      <c r="A266" t="n">
        <v>6</v>
      </c>
      <c r="B266" t="inlineStr">
        <is>
          <t>Haskins Electric LLC.</t>
        </is>
      </c>
      <c r="C266" t="inlineStr">
        <is>
          <t>Family</t>
        </is>
      </c>
    </row>
    <row r="267">
      <c r="A267" t="n">
        <v>7</v>
      </c>
      <c r="B267" t="inlineStr">
        <is>
          <t>ACE Home Services</t>
        </is>
      </c>
      <c r="C267" t="inlineStr">
        <is>
          <t>Small PE</t>
        </is>
      </c>
    </row>
    <row r="268">
      <c r="A268" t="n">
        <v>8</v>
      </c>
      <c r="B268" t="inlineStr">
        <is>
          <t>HACI Mechanical Contractors, Inc.</t>
        </is>
      </c>
      <c r="C268" t="inlineStr">
        <is>
          <t>Self</t>
        </is>
      </c>
    </row>
    <row r="269">
      <c r="A269" t="n">
        <v>9</v>
      </c>
      <c r="B269" t="inlineStr">
        <is>
          <t>Legacy Air</t>
        </is>
      </c>
      <c r="C269" t="inlineStr">
        <is>
          <t>Small PE</t>
        </is>
      </c>
    </row>
    <row r="270">
      <c r="A270" t="n">
        <v>10</v>
      </c>
      <c r="B270" t="inlineStr">
        <is>
          <t>Aero Automatic Sprinkler Company</t>
        </is>
      </c>
      <c r="C270" t="inlineStr">
        <is>
          <t>Self</t>
        </is>
      </c>
    </row>
    <row r="271">
      <c r="A271" t="n">
        <v>11</v>
      </c>
      <c r="B271" t="inlineStr">
        <is>
          <t>RKS Plumbing and Mechanical</t>
        </is>
      </c>
      <c r="C271" t="inlineStr">
        <is>
          <t>Self</t>
        </is>
      </c>
    </row>
    <row r="272">
      <c r="A272" t="n">
        <v>12</v>
      </c>
      <c r="B272" t="inlineStr">
        <is>
          <t>Capp Electric Co</t>
        </is>
      </c>
      <c r="C272" t="inlineStr">
        <is>
          <t>Self</t>
        </is>
      </c>
    </row>
    <row r="273">
      <c r="A273" t="n">
        <v>13</v>
      </c>
      <c r="B273" t="inlineStr">
        <is>
          <t>Star Roofing</t>
        </is>
      </c>
      <c r="C273" t="inlineStr">
        <is>
          <t>Small PE</t>
        </is>
      </c>
    </row>
    <row r="274">
      <c r="A274" t="n">
        <v>14</v>
      </c>
      <c r="B274" t="inlineStr">
        <is>
          <t>W. D. Manor Mechanical Contractors, Inc</t>
        </is>
      </c>
      <c r="C274" t="inlineStr">
        <is>
          <t>Self</t>
        </is>
      </c>
    </row>
    <row r="275">
      <c r="A275" t="n">
        <v>15</v>
      </c>
      <c r="B275" t="inlineStr">
        <is>
          <t>Global Mobility Solutions</t>
        </is>
      </c>
      <c r="C275" t="inlineStr">
        <is>
          <t>Self</t>
        </is>
      </c>
    </row>
    <row r="276">
      <c r="A276" t="n">
        <v>16</v>
      </c>
      <c r="B276" t="inlineStr">
        <is>
          <t>Echo Canyon Consulting</t>
        </is>
      </c>
      <c r="C276" t="inlineStr">
        <is>
          <t>Self</t>
        </is>
      </c>
    </row>
    <row r="277">
      <c r="A277" t="n">
        <v>17</v>
      </c>
      <c r="B277" t="inlineStr">
        <is>
          <t>Sal Electric</t>
        </is>
      </c>
      <c r="C277" t="inlineStr">
        <is>
          <t>Self</t>
        </is>
      </c>
    </row>
    <row r="278">
      <c r="A278" t="n">
        <v>18</v>
      </c>
      <c r="B278" t="inlineStr">
        <is>
          <t>Sibylline</t>
        </is>
      </c>
      <c r="C278" t="inlineStr">
        <is>
          <t>Self</t>
        </is>
      </c>
    </row>
    <row r="279">
      <c r="A279" t="n">
        <v>19</v>
      </c>
      <c r="B279" t="inlineStr">
        <is>
          <t>Westbrook Service Company</t>
        </is>
      </c>
      <c r="C279" t="inlineStr">
        <is>
          <t>Self</t>
        </is>
      </c>
    </row>
    <row r="280">
      <c r="A280" t="n">
        <v>20</v>
      </c>
      <c r="B280" t="inlineStr">
        <is>
          <t>SEARCH</t>
        </is>
      </c>
      <c r="C280" t="inlineStr">
        <is>
          <t>Small PE</t>
        </is>
      </c>
    </row>
    <row r="281">
      <c r="A281" t="n">
        <v>21</v>
      </c>
      <c r="B281" t="inlineStr">
        <is>
          <t>Insight Assurance</t>
        </is>
      </c>
      <c r="C281" t="inlineStr">
        <is>
          <t>Self</t>
        </is>
      </c>
    </row>
    <row r="282">
      <c r="A282" t="n">
        <v>22</v>
      </c>
      <c r="B282" t="inlineStr">
        <is>
          <t>HSP Group</t>
        </is>
      </c>
      <c r="C282" t="inlineStr">
        <is>
          <t>Self</t>
        </is>
      </c>
    </row>
    <row r="283">
      <c r="A283" t="n">
        <v>23</v>
      </c>
      <c r="B283" t="inlineStr">
        <is>
          <t>Ferran Services &amp; Contracting, Inc</t>
        </is>
      </c>
      <c r="C283" t="inlineStr">
        <is>
          <t>Self</t>
        </is>
      </c>
    </row>
    <row r="284">
      <c r="A284" t="n">
        <v>24</v>
      </c>
      <c r="B284" t="inlineStr">
        <is>
          <t>United Electrical Sales</t>
        </is>
      </c>
      <c r="C284" t="inlineStr">
        <is>
          <t>Family</t>
        </is>
      </c>
    </row>
    <row r="285">
      <c r="A285" t="n">
        <v>25</v>
      </c>
      <c r="B285" t="inlineStr">
        <is>
          <t>DOW Technologies</t>
        </is>
      </c>
      <c r="C285" t="inlineStr">
        <is>
          <t>Family</t>
        </is>
      </c>
    </row>
    <row r="286">
      <c r="A286" t="n">
        <v>26</v>
      </c>
      <c r="B286" t="inlineStr">
        <is>
          <t>GLE Associates, Inc.</t>
        </is>
      </c>
      <c r="C286" t="inlineStr">
        <is>
          <t>Self</t>
        </is>
      </c>
    </row>
    <row r="287">
      <c r="A287" t="n">
        <v>27</v>
      </c>
      <c r="B287" t="inlineStr">
        <is>
          <t>Pavion, Formerly Star Asset Security</t>
        </is>
      </c>
      <c r="C287" t="inlineStr">
        <is>
          <t>Small PE</t>
        </is>
      </c>
    </row>
    <row r="288">
      <c r="A288" t="n">
        <v>28</v>
      </c>
      <c r="B288" t="inlineStr">
        <is>
          <t>HARRY WARREN, INC.</t>
        </is>
      </c>
      <c r="C288" t="inlineStr">
        <is>
          <t>Family</t>
        </is>
      </c>
    </row>
    <row r="289">
      <c r="A289" t="n">
        <v>29</v>
      </c>
      <c r="B289" t="inlineStr">
        <is>
          <t>Bates Electric</t>
        </is>
      </c>
      <c r="C289" t="inlineStr">
        <is>
          <t>Self</t>
        </is>
      </c>
    </row>
    <row r="290">
      <c r="A290" t="n">
        <v>30</v>
      </c>
      <c r="B290" t="inlineStr">
        <is>
          <t>Stan Weaver North &amp; Central Florida</t>
        </is>
      </c>
      <c r="C290" t="inlineStr">
        <is>
          <t>Self</t>
        </is>
      </c>
    </row>
    <row r="291">
      <c r="A291" t="n">
        <v>31</v>
      </c>
      <c r="B291" t="inlineStr">
        <is>
          <t>Dynamic Equipment Group</t>
        </is>
      </c>
      <c r="C291" t="inlineStr">
        <is>
          <t>Self</t>
        </is>
      </c>
    </row>
    <row r="292">
      <c r="A292" t="n">
        <v>32</v>
      </c>
      <c r="B292" t="inlineStr">
        <is>
          <t>Erwin Electric, Inc.</t>
        </is>
      </c>
      <c r="C292" t="inlineStr">
        <is>
          <t>Family</t>
        </is>
      </c>
    </row>
    <row r="293">
      <c r="A293" t="n">
        <v>33</v>
      </c>
      <c r="B293" t="inlineStr">
        <is>
          <t>The Carroll Adams Group</t>
        </is>
      </c>
      <c r="C293" t="inlineStr">
        <is>
          <t>Self</t>
        </is>
      </c>
    </row>
    <row r="294">
      <c r="A294" t="n">
        <v>34</v>
      </c>
      <c r="B294" t="inlineStr">
        <is>
          <t>Acree Plumbing &amp; Air</t>
        </is>
      </c>
      <c r="C294" t="inlineStr">
        <is>
          <t>Small PE</t>
        </is>
      </c>
    </row>
    <row r="295">
      <c r="A295" t="n">
        <v>35</v>
      </c>
      <c r="B295" t="inlineStr">
        <is>
          <t>C&amp;C Painting</t>
        </is>
      </c>
      <c r="C295" t="inlineStr">
        <is>
          <t>Self</t>
        </is>
      </c>
    </row>
    <row r="296">
      <c r="A296" t="n">
        <v>36</v>
      </c>
      <c r="B296" t="inlineStr">
        <is>
          <t>Cox Fire Protection</t>
        </is>
      </c>
      <c r="C296" t="inlineStr">
        <is>
          <t>Small PE</t>
        </is>
      </c>
    </row>
    <row r="297">
      <c r="A297" t="n">
        <v>37</v>
      </c>
      <c r="B297" t="inlineStr">
        <is>
          <t>Forcon International</t>
        </is>
      </c>
      <c r="C297" t="inlineStr">
        <is>
          <t>Self</t>
        </is>
      </c>
    </row>
    <row r="298">
      <c r="A298" t="n">
        <v>38</v>
      </c>
      <c r="B298" t="inlineStr">
        <is>
          <t>Mader Southeast</t>
        </is>
      </c>
      <c r="C298" t="inlineStr">
        <is>
          <t>Self</t>
        </is>
      </c>
    </row>
    <row r="299">
      <c r="A299" t="n">
        <v>39</v>
      </c>
      <c r="B299" t="inlineStr">
        <is>
          <t>Fire Safety and Protection</t>
        </is>
      </c>
      <c r="C299" t="inlineStr">
        <is>
          <t>Small PE</t>
        </is>
      </c>
    </row>
    <row r="300">
      <c r="A300" t="n">
        <v>40</v>
      </c>
      <c r="B300" t="inlineStr">
        <is>
          <t>Creative MultiCare</t>
        </is>
      </c>
      <c r="C300" t="inlineStr">
        <is>
          <t>Small PE</t>
        </is>
      </c>
    </row>
    <row r="301">
      <c r="A301" t="n">
        <v>41</v>
      </c>
      <c r="B301" t="inlineStr">
        <is>
          <t>Maxair Mechanical</t>
        </is>
      </c>
      <c r="C301" t="inlineStr">
        <is>
          <t>Family</t>
        </is>
      </c>
    </row>
    <row r="302">
      <c r="A302" t="n">
        <v>42</v>
      </c>
      <c r="B302" t="inlineStr">
        <is>
          <t>Reliable Heating &amp; Air</t>
        </is>
      </c>
      <c r="C302" t="inlineStr">
        <is>
          <t>Family</t>
        </is>
      </c>
    </row>
    <row r="303">
      <c r="A303" t="n">
        <v>43</v>
      </c>
      <c r="B303" t="inlineStr">
        <is>
          <t>Caduceus Healthcare Inc.</t>
        </is>
      </c>
      <c r="C303" t="inlineStr">
        <is>
          <t>Self</t>
        </is>
      </c>
    </row>
    <row r="304">
      <c r="A304" t="n">
        <v>44</v>
      </c>
      <c r="B304" t="inlineStr">
        <is>
          <t>HB NEXT</t>
        </is>
      </c>
      <c r="C304" t="inlineStr">
        <is>
          <t>Self</t>
        </is>
      </c>
    </row>
    <row r="305">
      <c r="A305" t="n">
        <v>45</v>
      </c>
      <c r="B305" t="inlineStr">
        <is>
          <t>Agility Recovery</t>
        </is>
      </c>
      <c r="C305" t="inlineStr">
        <is>
          <t>Small PE</t>
        </is>
      </c>
    </row>
    <row r="306">
      <c r="A306" t="n">
        <v>46</v>
      </c>
      <c r="B306" t="inlineStr">
        <is>
          <t>GCD Sales</t>
        </is>
      </c>
      <c r="C306" t="inlineStr">
        <is>
          <t>Family</t>
        </is>
      </c>
    </row>
    <row r="307">
      <c r="A307" t="n">
        <v>47</v>
      </c>
      <c r="B307" t="inlineStr">
        <is>
          <t>Phillips Electrical / Mechanical</t>
        </is>
      </c>
      <c r="C307" t="inlineStr">
        <is>
          <t>Self</t>
        </is>
      </c>
    </row>
    <row r="308">
      <c r="A308" t="n">
        <v>48</v>
      </c>
      <c r="B308" t="inlineStr">
        <is>
          <t>Harrison Contracting Company</t>
        </is>
      </c>
      <c r="C308" t="inlineStr">
        <is>
          <t>Self</t>
        </is>
      </c>
    </row>
    <row r="309">
      <c r="A309" t="n">
        <v>49</v>
      </c>
      <c r="B309" t="inlineStr">
        <is>
          <t>Art Plumbing Contractors</t>
        </is>
      </c>
      <c r="C309" t="inlineStr">
        <is>
          <t>Family</t>
        </is>
      </c>
    </row>
    <row r="310">
      <c r="A310" t="n">
        <v>50</v>
      </c>
      <c r="B310" t="inlineStr">
        <is>
          <t>Basesix</t>
        </is>
      </c>
      <c r="C310" t="inlineStr">
        <is>
          <t>Small PE</t>
        </is>
      </c>
    </row>
    <row r="311">
      <c r="A311" t="n">
        <v>51</v>
      </c>
      <c r="B311" t="inlineStr">
        <is>
          <t>Reliable Roofing</t>
        </is>
      </c>
      <c r="C311" t="inlineStr">
        <is>
          <t>Self</t>
        </is>
      </c>
    </row>
    <row r="312">
      <c r="A312" t="n">
        <v>52</v>
      </c>
      <c r="B312" t="inlineStr">
        <is>
          <t>Aptitude Health</t>
        </is>
      </c>
      <c r="C312" t="inlineStr">
        <is>
          <t>Small PE</t>
        </is>
      </c>
    </row>
    <row r="313">
      <c r="A313" t="n">
        <v>53</v>
      </c>
      <c r="B313" t="inlineStr">
        <is>
          <t>Industrial Repair Service</t>
        </is>
      </c>
      <c r="C313" t="inlineStr">
        <is>
          <t>Self</t>
        </is>
      </c>
    </row>
    <row r="314">
      <c r="A314" t="n">
        <v>54</v>
      </c>
      <c r="B314" t="inlineStr">
        <is>
          <t>The Burks Companies Inc</t>
        </is>
      </c>
      <c r="C314" t="inlineStr">
        <is>
          <t>Self</t>
        </is>
      </c>
    </row>
    <row r="315">
      <c r="A315" t="n">
        <v>55</v>
      </c>
      <c r="B315" t="inlineStr">
        <is>
          <t>Atlanta West Carpets, LLC</t>
        </is>
      </c>
      <c r="C315" t="inlineStr">
        <is>
          <t>Self</t>
        </is>
      </c>
    </row>
    <row r="316">
      <c r="A316" t="n">
        <v>56</v>
      </c>
      <c r="B316" t="inlineStr">
        <is>
          <t>AMCON Industrial</t>
        </is>
      </c>
      <c r="C316" t="inlineStr">
        <is>
          <t>Self</t>
        </is>
      </c>
    </row>
    <row r="317">
      <c r="A317" t="n">
        <v>57</v>
      </c>
      <c r="B317" t="inlineStr">
        <is>
          <t>iParametrics, LLC</t>
        </is>
      </c>
      <c r="C317" t="inlineStr">
        <is>
          <t>Self</t>
        </is>
      </c>
    </row>
    <row r="318">
      <c r="A318" t="n">
        <v>58</v>
      </c>
      <c r="B318" t="inlineStr">
        <is>
          <t>Pegasus Support Services, LLC</t>
        </is>
      </c>
      <c r="C318" t="inlineStr">
        <is>
          <t>Self</t>
        </is>
      </c>
    </row>
    <row r="319">
      <c r="A319" t="n">
        <v>59</v>
      </c>
      <c r="B319" t="inlineStr">
        <is>
          <t>Mayberry Electric Inc.</t>
        </is>
      </c>
      <c r="C319" t="inlineStr">
        <is>
          <t>Self</t>
        </is>
      </c>
    </row>
    <row r="320">
      <c r="A320" t="n">
        <v>60</v>
      </c>
      <c r="B320" t="inlineStr">
        <is>
          <t>AA LAQUIS</t>
        </is>
      </c>
      <c r="C320" t="inlineStr">
        <is>
          <t>Family</t>
        </is>
      </c>
    </row>
    <row r="321">
      <c r="A321" t="n">
        <v>61</v>
      </c>
      <c r="B321" t="inlineStr">
        <is>
          <t>Addison Smith Mechanical Contractor, Inc.</t>
        </is>
      </c>
      <c r="C321" t="inlineStr">
        <is>
          <t>Self</t>
        </is>
      </c>
    </row>
    <row r="322">
      <c r="A322" t="n">
        <v>62</v>
      </c>
      <c r="B322" t="inlineStr">
        <is>
          <t>Estes Services Heating, Air, Plumbing &amp; Electrical</t>
        </is>
      </c>
      <c r="C322" t="inlineStr">
        <is>
          <t>Family</t>
        </is>
      </c>
    </row>
    <row r="323">
      <c r="A323" t="n">
        <v>63</v>
      </c>
      <c r="B323" t="inlineStr">
        <is>
          <t>Tebarco Mechanical, LLC</t>
        </is>
      </c>
      <c r="C323" t="inlineStr">
        <is>
          <t>Small PE</t>
        </is>
      </c>
    </row>
    <row r="324">
      <c r="A324" t="n">
        <v>64</v>
      </c>
      <c r="B324" t="inlineStr">
        <is>
          <t>United Maintenance Inc.</t>
        </is>
      </c>
      <c r="C324" t="inlineStr">
        <is>
          <t>Self</t>
        </is>
      </c>
    </row>
    <row r="325">
      <c r="A325" t="n">
        <v>65</v>
      </c>
      <c r="B325" t="inlineStr">
        <is>
          <t>Bardi Heating, Cooling, Plumbing, Electrical</t>
        </is>
      </c>
      <c r="C325" t="inlineStr">
        <is>
          <t>Family</t>
        </is>
      </c>
    </row>
    <row r="326">
      <c r="A326" t="n">
        <v>66</v>
      </c>
      <c r="B326" t="inlineStr">
        <is>
          <t>Busker Communications</t>
        </is>
      </c>
      <c r="C326" t="inlineStr">
        <is>
          <t>Self</t>
        </is>
      </c>
    </row>
    <row r="327">
      <c r="A327" t="n">
        <v>67</v>
      </c>
      <c r="B327" t="inlineStr">
        <is>
          <t>B &amp; W MECHANICAL CONTRACTORS, INC.</t>
        </is>
      </c>
      <c r="C327" t="inlineStr">
        <is>
          <t>Self</t>
        </is>
      </c>
    </row>
    <row r="328">
      <c r="A328" t="n">
        <v>68</v>
      </c>
      <c r="B328" t="inlineStr">
        <is>
          <t>MarketSphere Unclaimed Property Specialists</t>
        </is>
      </c>
      <c r="C328" t="inlineStr">
        <is>
          <t>Self</t>
        </is>
      </c>
    </row>
    <row r="329">
      <c r="A329" t="n">
        <v>69</v>
      </c>
      <c r="B329" t="inlineStr">
        <is>
          <t>Chartwell, Inc.</t>
        </is>
      </c>
      <c r="C329" t="inlineStr">
        <is>
          <t>Self</t>
        </is>
      </c>
    </row>
    <row r="330">
      <c r="A330" t="n">
        <v>70</v>
      </c>
      <c r="B330" t="inlineStr">
        <is>
          <t>Action Electric Co., Inc.</t>
        </is>
      </c>
      <c r="C330" t="inlineStr">
        <is>
          <t>Self</t>
        </is>
      </c>
    </row>
    <row r="331">
      <c r="A331" t="n">
        <v>71</v>
      </c>
      <c r="B331" t="inlineStr">
        <is>
          <t>Penco Electrical Contractors, Inc</t>
        </is>
      </c>
      <c r="C331" t="inlineStr">
        <is>
          <t>Family</t>
        </is>
      </c>
    </row>
    <row r="332">
      <c r="A332" t="n">
        <v>72</v>
      </c>
      <c r="B332" t="inlineStr">
        <is>
          <t>Ridge Valley Exteriors, Inc</t>
        </is>
      </c>
      <c r="C332" t="inlineStr">
        <is>
          <t>Family</t>
        </is>
      </c>
    </row>
    <row r="333">
      <c r="A333" t="n">
        <v>73</v>
      </c>
      <c r="B333" t="inlineStr">
        <is>
          <t>Putzel Electrical Contractors, Inc.</t>
        </is>
      </c>
      <c r="C333" t="inlineStr">
        <is>
          <t>Self</t>
        </is>
      </c>
    </row>
    <row r="334">
      <c r="A334" t="n">
        <v>74</v>
      </c>
      <c r="B334" t="inlineStr">
        <is>
          <t>Ragsdale Heating, Air, Plumbing &amp; Electrical</t>
        </is>
      </c>
      <c r="C334" t="inlineStr">
        <is>
          <t>Small PE</t>
        </is>
      </c>
    </row>
    <row r="335">
      <c r="A335" t="n">
        <v>75</v>
      </c>
      <c r="B335" t="inlineStr">
        <is>
          <t>Capital City Mechanical Services, LLC</t>
        </is>
      </c>
      <c r="C335" t="inlineStr">
        <is>
          <t>Self</t>
        </is>
      </c>
    </row>
    <row r="336">
      <c r="A336" t="n">
        <v>76</v>
      </c>
      <c r="B336" t="inlineStr">
        <is>
          <t>Conditioned Air Systems, Inc.</t>
        </is>
      </c>
      <c r="C336" t="inlineStr">
        <is>
          <t>Family</t>
        </is>
      </c>
    </row>
    <row r="337">
      <c r="A337" t="n">
        <v>77</v>
      </c>
      <c r="B337" t="inlineStr">
        <is>
          <t>EXCEL ELECTRICAL TECHNOLOGIES, INC.</t>
        </is>
      </c>
      <c r="C337" t="inlineStr">
        <is>
          <t>Self</t>
        </is>
      </c>
    </row>
    <row r="338">
      <c r="A338" t="n">
        <v>78</v>
      </c>
      <c r="B338" t="inlineStr">
        <is>
          <t>Tool Source Warehouse</t>
        </is>
      </c>
      <c r="C338" t="inlineStr">
        <is>
          <t>Self</t>
        </is>
      </c>
    </row>
    <row r="339">
      <c r="A339" t="n">
        <v>79</v>
      </c>
      <c r="B339" t="inlineStr">
        <is>
          <t>The Circle Group, LLC</t>
        </is>
      </c>
      <c r="C339" t="inlineStr">
        <is>
          <t>Self</t>
        </is>
      </c>
    </row>
    <row r="340">
      <c r="A340" t="n">
        <v>80</v>
      </c>
      <c r="B340" t="inlineStr">
        <is>
          <t>PBI</t>
        </is>
      </c>
      <c r="C340" t="inlineStr">
        <is>
          <t>Self</t>
        </is>
      </c>
    </row>
    <row r="341">
      <c r="A341" t="n">
        <v>81</v>
      </c>
      <c r="B341" t="inlineStr">
        <is>
          <t>Vertex Service Partners</t>
        </is>
      </c>
      <c r="C341" t="inlineStr">
        <is>
          <t>Small PE</t>
        </is>
      </c>
    </row>
    <row r="342">
      <c r="A342" t="n">
        <v>82</v>
      </c>
      <c r="B342" t="inlineStr">
        <is>
          <t>23rd Group</t>
        </is>
      </c>
      <c r="C342" t="inlineStr">
        <is>
          <t>Self</t>
        </is>
      </c>
    </row>
    <row r="343">
      <c r="A343" t="n">
        <v>83</v>
      </c>
      <c r="B343" t="inlineStr">
        <is>
          <t>D&amp;L Parts Company</t>
        </is>
      </c>
      <c r="C343" t="inlineStr">
        <is>
          <t>Family</t>
        </is>
      </c>
    </row>
    <row r="344">
      <c r="A344" t="n">
        <v>84</v>
      </c>
      <c r="B344" t="inlineStr">
        <is>
          <t>Quality Marketing</t>
        </is>
      </c>
      <c r="C344" t="inlineStr">
        <is>
          <t>Self</t>
        </is>
      </c>
    </row>
    <row r="345">
      <c r="A345" t="n">
        <v>85</v>
      </c>
      <c r="B345" t="inlineStr">
        <is>
          <t>Yandle-Witherspoon Supply, Inc.</t>
        </is>
      </c>
      <c r="C345" t="inlineStr">
        <is>
          <t>Self</t>
        </is>
      </c>
    </row>
    <row r="346">
      <c r="A346" t="n">
        <v>86</v>
      </c>
      <c r="B346" t="inlineStr">
        <is>
          <t>ACTION MECHANICAL CONTRACTORS INC</t>
        </is>
      </c>
      <c r="C346" t="inlineStr">
        <is>
          <t>Self</t>
        </is>
      </c>
    </row>
    <row r="347">
      <c r="A347" t="n">
        <v>87</v>
      </c>
      <c r="B347" t="inlineStr">
        <is>
          <t>Web-Don, Inc.</t>
        </is>
      </c>
      <c r="C347" t="inlineStr">
        <is>
          <t>Family</t>
        </is>
      </c>
    </row>
    <row r="348">
      <c r="A348" t="n">
        <v>88</v>
      </c>
      <c r="B348" t="inlineStr">
        <is>
          <t>Insulating Services, Inc.</t>
        </is>
      </c>
      <c r="C348" t="inlineStr">
        <is>
          <t>Self</t>
        </is>
      </c>
    </row>
    <row r="349">
      <c r="A349" t="n">
        <v>89</v>
      </c>
      <c r="B349" t="inlineStr">
        <is>
          <t>Smith &amp; Stevenson</t>
        </is>
      </c>
      <c r="C349" t="inlineStr">
        <is>
          <t>Family</t>
        </is>
      </c>
    </row>
    <row r="350">
      <c r="A350" t="n">
        <v>90</v>
      </c>
      <c r="B350" t="inlineStr">
        <is>
          <t>Call Dad</t>
        </is>
      </c>
      <c r="C350" t="inlineStr">
        <is>
          <t>Family</t>
        </is>
      </c>
    </row>
    <row r="351">
      <c r="A351" t="n">
        <v>91</v>
      </c>
      <c r="B351" t="inlineStr">
        <is>
          <t>Nashville Machine Co Inc</t>
        </is>
      </c>
      <c r="C351" t="inlineStr">
        <is>
          <t>Self</t>
        </is>
      </c>
    </row>
    <row r="352">
      <c r="A352" t="n">
        <v>92</v>
      </c>
      <c r="B352" t="inlineStr">
        <is>
          <t>Guardian Access Solutions</t>
        </is>
      </c>
      <c r="C352" t="inlineStr">
        <is>
          <t>Small PE</t>
        </is>
      </c>
    </row>
    <row r="353">
      <c r="A353" t="n">
        <v>93</v>
      </c>
      <c r="B353" t="inlineStr">
        <is>
          <t>Ed's Supply</t>
        </is>
      </c>
      <c r="C353" t="inlineStr">
        <is>
          <t>Small PE</t>
        </is>
      </c>
    </row>
    <row r="354">
      <c r="A354" t="n">
        <v>94</v>
      </c>
      <c r="B354" t="inlineStr">
        <is>
          <t>Stones River Electric</t>
        </is>
      </c>
      <c r="C354" t="inlineStr">
        <is>
          <t>Family</t>
        </is>
      </c>
    </row>
    <row r="355">
      <c r="A355" t="n">
        <v>95</v>
      </c>
      <c r="B355" t="inlineStr">
        <is>
          <t>Hayes Pipe Supply, Inc.</t>
        </is>
      </c>
      <c r="C355" t="inlineStr">
        <is>
          <t>Family</t>
        </is>
      </c>
    </row>
    <row r="356">
      <c r="A356" t="n">
        <v>96</v>
      </c>
      <c r="B356" t="inlineStr">
        <is>
          <t>Team Air Distributing</t>
        </is>
      </c>
      <c r="C356" t="inlineStr">
        <is>
          <t>Self</t>
        </is>
      </c>
    </row>
    <row r="357">
      <c r="A357" t="n">
        <v>97</v>
      </c>
      <c r="B357" t="inlineStr">
        <is>
          <t>National HVAC Service</t>
        </is>
      </c>
      <c r="C357" t="inlineStr">
        <is>
          <t>Small PE</t>
        </is>
      </c>
    </row>
    <row r="358">
      <c r="A358" t="n">
        <v>98</v>
      </c>
      <c r="B358" t="inlineStr">
        <is>
          <t>Roscoe Brown, Inc.</t>
        </is>
      </c>
      <c r="C358" t="inlineStr">
        <is>
          <t>Self</t>
        </is>
      </c>
    </row>
    <row r="359">
      <c r="A359" t="n">
        <v>99</v>
      </c>
      <c r="B359" t="inlineStr">
        <is>
          <t>CONVENTION PRODUCTION RIGGING, INC.</t>
        </is>
      </c>
      <c r="C359" t="inlineStr">
        <is>
          <t>Self</t>
        </is>
      </c>
    </row>
    <row r="360">
      <c r="A360" t="n">
        <v>100</v>
      </c>
      <c r="B360" t="inlineStr">
        <is>
          <t>ABEC Electric Company, LLC</t>
        </is>
      </c>
      <c r="C360" t="inlineStr">
        <is>
          <t>Self</t>
        </is>
      </c>
    </row>
    <row r="361">
      <c r="A361" t="n">
        <v>101</v>
      </c>
      <c r="B361" t="inlineStr">
        <is>
          <t>Porter Roofing Contractors, Inc</t>
        </is>
      </c>
      <c r="C361" t="inlineStr">
        <is>
          <t>Self</t>
        </is>
      </c>
    </row>
    <row r="362">
      <c r="A362" t="n">
        <v>102</v>
      </c>
      <c r="B362" t="inlineStr">
        <is>
          <t>Guardian Systems</t>
        </is>
      </c>
      <c r="C362" t="inlineStr">
        <is>
          <t>Self</t>
        </is>
      </c>
    </row>
    <row r="363">
      <c r="A363" t="n">
        <v>103</v>
      </c>
      <c r="B363" t="inlineStr">
        <is>
          <t>Ellsworth Systems</t>
        </is>
      </c>
      <c r="C363" t="inlineStr">
        <is>
          <t>Self</t>
        </is>
      </c>
    </row>
    <row r="364">
      <c r="A364" t="n">
        <v>104</v>
      </c>
      <c r="B364" t="inlineStr">
        <is>
          <t>Empower Electric, LLC</t>
        </is>
      </c>
      <c r="C364" t="inlineStr">
        <is>
          <t>Self</t>
        </is>
      </c>
    </row>
    <row r="365">
      <c r="A365" t="n">
        <v>105</v>
      </c>
      <c r="B365" t="inlineStr">
        <is>
          <t>M2 Services</t>
        </is>
      </c>
      <c r="C365" t="inlineStr">
        <is>
          <t>Self</t>
        </is>
      </c>
    </row>
    <row r="366">
      <c r="A366" t="n">
        <v>106</v>
      </c>
      <c r="B366" t="inlineStr">
        <is>
          <t>Polk Mechanical Company</t>
        </is>
      </c>
      <c r="C366" t="inlineStr">
        <is>
          <t>Self</t>
        </is>
      </c>
    </row>
    <row r="367">
      <c r="A367" t="n">
        <v>107</v>
      </c>
      <c r="B367" t="inlineStr">
        <is>
          <t>Carrco Painting</t>
        </is>
      </c>
      <c r="C367" t="inlineStr">
        <is>
          <t>Family</t>
        </is>
      </c>
    </row>
    <row r="368">
      <c r="A368" t="n">
        <v>108</v>
      </c>
      <c r="B368" t="inlineStr">
        <is>
          <t>HaloMD</t>
        </is>
      </c>
      <c r="C368" t="inlineStr">
        <is>
          <t>Self</t>
        </is>
      </c>
    </row>
    <row r="369">
      <c r="A369" t="n">
        <v>109</v>
      </c>
      <c r="B369" t="inlineStr">
        <is>
          <t>Alpha Testing</t>
        </is>
      </c>
      <c r="C369" t="inlineStr">
        <is>
          <t>Small PE</t>
        </is>
      </c>
    </row>
    <row r="370">
      <c r="A370" t="n">
        <v>110</v>
      </c>
      <c r="B370" t="inlineStr">
        <is>
          <t>McCorvey Sheet Metal Works LP.</t>
        </is>
      </c>
      <c r="C370" t="inlineStr">
        <is>
          <t>Family</t>
        </is>
      </c>
    </row>
    <row r="371">
      <c r="A371" t="n">
        <v>111</v>
      </c>
      <c r="B371" t="inlineStr">
        <is>
          <t>Hi-Line Inc.</t>
        </is>
      </c>
      <c r="C371" t="inlineStr">
        <is>
          <t>Family</t>
        </is>
      </c>
    </row>
    <row r="372">
      <c r="A372" t="n">
        <v>112</v>
      </c>
      <c r="B372" t="inlineStr">
        <is>
          <t>SUPREME ROOFING</t>
        </is>
      </c>
      <c r="C372" t="inlineStr">
        <is>
          <t>Self</t>
        </is>
      </c>
    </row>
    <row r="373">
      <c r="A373" t="n">
        <v>113</v>
      </c>
      <c r="B373" t="inlineStr">
        <is>
          <t>TechCorr USA, LLC</t>
        </is>
      </c>
      <c r="C373" t="inlineStr">
        <is>
          <t>Self</t>
        </is>
      </c>
    </row>
    <row r="374">
      <c r="A374" t="n">
        <v>114</v>
      </c>
      <c r="B374" t="inlineStr">
        <is>
          <t>AIV L.P.</t>
        </is>
      </c>
      <c r="C374" t="inlineStr">
        <is>
          <t>Self</t>
        </is>
      </c>
    </row>
    <row r="375">
      <c r="A375" t="n">
        <v>115</v>
      </c>
      <c r="B375" t="inlineStr">
        <is>
          <t>Century A/C Supply</t>
        </is>
      </c>
      <c r="C375" t="inlineStr">
        <is>
          <t>Self</t>
        </is>
      </c>
    </row>
    <row r="376">
      <c r="A376" t="n">
        <v>116</v>
      </c>
      <c r="B376" t="inlineStr">
        <is>
          <t>Moore Control Systems, Inc</t>
        </is>
      </c>
      <c r="C376" t="inlineStr">
        <is>
          <t>Self</t>
        </is>
      </c>
    </row>
    <row r="377">
      <c r="A377" t="n">
        <v>117</v>
      </c>
      <c r="B377" t="inlineStr">
        <is>
          <t>Cenergistic</t>
        </is>
      </c>
      <c r="C377" t="inlineStr">
        <is>
          <t>Self</t>
        </is>
      </c>
    </row>
    <row r="378">
      <c r="A378" t="n">
        <v>118</v>
      </c>
      <c r="B378" t="inlineStr">
        <is>
          <t>Howard Supply Company</t>
        </is>
      </c>
      <c r="C378" t="inlineStr">
        <is>
          <t>Self</t>
        </is>
      </c>
    </row>
    <row r="379">
      <c r="A379" t="n">
        <v>119</v>
      </c>
      <c r="B379" t="inlineStr">
        <is>
          <t>VRC Investigations</t>
        </is>
      </c>
      <c r="C379" t="inlineStr">
        <is>
          <t>Small PE</t>
        </is>
      </c>
    </row>
    <row r="380">
      <c r="A380" t="n">
        <v>120</v>
      </c>
      <c r="B380" t="inlineStr">
        <is>
          <t>Aperture LLC</t>
        </is>
      </c>
      <c r="C380" t="inlineStr">
        <is>
          <t>Small PE</t>
        </is>
      </c>
    </row>
    <row r="381">
      <c r="A381" t="n">
        <v>121</v>
      </c>
      <c r="B381" t="inlineStr">
        <is>
          <t>MLN Company</t>
        </is>
      </c>
      <c r="C381" t="inlineStr">
        <is>
          <t>Self</t>
        </is>
      </c>
    </row>
    <row r="382">
      <c r="A382" t="n">
        <v>122</v>
      </c>
      <c r="B382" t="inlineStr">
        <is>
          <t>Jomar Electrical Contractors</t>
        </is>
      </c>
      <c r="C382" t="inlineStr">
        <is>
          <t>Family</t>
        </is>
      </c>
    </row>
    <row r="383">
      <c r="A383" t="n">
        <v>123</v>
      </c>
      <c r="B383" t="inlineStr">
        <is>
          <t>Quality Assurance Management, Inc.</t>
        </is>
      </c>
      <c r="C383" t="inlineStr">
        <is>
          <t>Self</t>
        </is>
      </c>
    </row>
    <row r="384">
      <c r="A384" t="n">
        <v>124</v>
      </c>
      <c r="B384" t="inlineStr">
        <is>
          <t>DCOMM</t>
        </is>
      </c>
      <c r="C384" t="inlineStr">
        <is>
          <t>Self</t>
        </is>
      </c>
    </row>
    <row r="385">
      <c r="A385" t="n">
        <v>125</v>
      </c>
      <c r="B385" t="inlineStr">
        <is>
          <t>C12 Business Forums</t>
        </is>
      </c>
      <c r="C385" t="inlineStr">
        <is>
          <t>Self</t>
        </is>
      </c>
    </row>
    <row r="386">
      <c r="A386" t="n">
        <v>126</v>
      </c>
      <c r="B386" t="inlineStr">
        <is>
          <t>ICBS Inc, - Intercommercial Business Systems</t>
        </is>
      </c>
      <c r="C386" t="inlineStr">
        <is>
          <t>Self</t>
        </is>
      </c>
    </row>
    <row r="387">
      <c r="A387" t="n">
        <v>127</v>
      </c>
      <c r="B387" t="inlineStr">
        <is>
          <t>Intel 471</t>
        </is>
      </c>
      <c r="C387" t="inlineStr">
        <is>
          <t>Small PE</t>
        </is>
      </c>
    </row>
    <row r="388">
      <c r="A388" t="n">
        <v>128</v>
      </c>
      <c r="B388" t="inlineStr">
        <is>
          <t>Ameristar Screen and Glass</t>
        </is>
      </c>
      <c r="C388" t="inlineStr">
        <is>
          <t>Self</t>
        </is>
      </c>
    </row>
    <row r="389">
      <c r="A389" t="n">
        <v>129</v>
      </c>
      <c r="B389" t="inlineStr">
        <is>
          <t>JD Martin Company</t>
        </is>
      </c>
      <c r="C389" t="inlineStr">
        <is>
          <t>Self</t>
        </is>
      </c>
    </row>
    <row r="390">
      <c r="A390" t="n">
        <v>130</v>
      </c>
      <c r="B390" t="inlineStr">
        <is>
          <t>Engineered Air Balance</t>
        </is>
      </c>
      <c r="C390" t="inlineStr">
        <is>
          <t>Self</t>
        </is>
      </c>
    </row>
    <row r="391">
      <c r="A391" t="n">
        <v>131</v>
      </c>
      <c r="B391" t="inlineStr">
        <is>
          <t>Recovery Monitoring Solutions</t>
        </is>
      </c>
      <c r="C391" t="inlineStr">
        <is>
          <t>Self</t>
        </is>
      </c>
    </row>
    <row r="392">
      <c r="A392" t="n">
        <v>132</v>
      </c>
      <c r="B392" t="inlineStr">
        <is>
          <t>Texcel</t>
        </is>
      </c>
      <c r="C392" t="inlineStr">
        <is>
          <t>Small PE</t>
        </is>
      </c>
    </row>
    <row r="393">
      <c r="A393" t="n">
        <v>133</v>
      </c>
      <c r="B393" t="inlineStr">
        <is>
          <t>TechTrans International, Inc.</t>
        </is>
      </c>
      <c r="C393" t="inlineStr">
        <is>
          <t>Self</t>
        </is>
      </c>
    </row>
    <row r="394">
      <c r="A394" t="n">
        <v>134</v>
      </c>
      <c r="B394" t="inlineStr">
        <is>
          <t>Aegeus Inspection Solutions</t>
        </is>
      </c>
      <c r="C394" t="inlineStr">
        <is>
          <t>Self</t>
        </is>
      </c>
    </row>
    <row r="395">
      <c r="A395" t="n">
        <v>135</v>
      </c>
      <c r="B395" t="inlineStr">
        <is>
          <t>Marks Plumbing Parts</t>
        </is>
      </c>
      <c r="C395" t="inlineStr">
        <is>
          <t>Self</t>
        </is>
      </c>
    </row>
    <row r="396">
      <c r="A396" t="n">
        <v>136</v>
      </c>
      <c r="B396" t="inlineStr">
        <is>
          <t>Wilson Fire Equipment &amp; Service Co., Inc.</t>
        </is>
      </c>
      <c r="C396" t="inlineStr">
        <is>
          <t>Family</t>
        </is>
      </c>
    </row>
    <row r="397">
      <c r="A397" t="n">
        <v>137</v>
      </c>
      <c r="B397" t="inlineStr">
        <is>
          <t>Ensolum, LLC</t>
        </is>
      </c>
      <c r="C397" t="inlineStr">
        <is>
          <t>Self</t>
        </is>
      </c>
    </row>
    <row r="398">
      <c r="A398" t="n">
        <v>138</v>
      </c>
      <c r="B398" t="inlineStr">
        <is>
          <t>Stonebridge Consulting</t>
        </is>
      </c>
      <c r="C398" t="inlineStr">
        <is>
          <t>Self</t>
        </is>
      </c>
    </row>
    <row r="399">
      <c r="A399" t="n">
        <v>139</v>
      </c>
      <c r="B399" t="inlineStr">
        <is>
          <t>Think Environmental</t>
        </is>
      </c>
      <c r="C399" t="inlineStr">
        <is>
          <t>Self</t>
        </is>
      </c>
    </row>
    <row r="400">
      <c r="A400" t="n">
        <v>140</v>
      </c>
      <c r="B400" t="inlineStr">
        <is>
          <t>The Chill Brothers</t>
        </is>
      </c>
      <c r="C400" t="inlineStr">
        <is>
          <t>Small PE</t>
        </is>
      </c>
    </row>
    <row r="401">
      <c r="A401" t="n">
        <v>141</v>
      </c>
      <c r="B401" t="inlineStr">
        <is>
          <t>Bell Mechanical Services, LLC</t>
        </is>
      </c>
      <c r="C401" t="inlineStr">
        <is>
          <t>Self</t>
        </is>
      </c>
    </row>
    <row r="402">
      <c r="A402" t="n">
        <v>142</v>
      </c>
      <c r="B402" t="inlineStr">
        <is>
          <t>Primetime Healthcare Compliance Services</t>
        </is>
      </c>
      <c r="C402" t="inlineStr">
        <is>
          <t>Small PE</t>
        </is>
      </c>
    </row>
    <row r="403">
      <c r="A403" t="n">
        <v>143</v>
      </c>
      <c r="B403" t="inlineStr">
        <is>
          <t>ACIS - Air Conditioning Innovative Solutions, Inc.</t>
        </is>
      </c>
      <c r="C403" t="inlineStr">
        <is>
          <t>Self</t>
        </is>
      </c>
    </row>
    <row r="404">
      <c r="A404" t="n">
        <v>144</v>
      </c>
      <c r="B404" t="inlineStr">
        <is>
          <t>Lanehart Electrical Companies</t>
        </is>
      </c>
      <c r="C404" t="inlineStr">
        <is>
          <t>Self</t>
        </is>
      </c>
    </row>
    <row r="405">
      <c r="A405" t="n">
        <v>145</v>
      </c>
      <c r="B405" t="inlineStr">
        <is>
          <t>Merit Advisors, LLC</t>
        </is>
      </c>
      <c r="C405" t="inlineStr">
        <is>
          <t>Self</t>
        </is>
      </c>
    </row>
    <row r="406">
      <c r="A406" t="n">
        <v>146</v>
      </c>
      <c r="B406" t="inlineStr">
        <is>
          <t>Vyrian, Inc.</t>
        </is>
      </c>
      <c r="C406" t="inlineStr">
        <is>
          <t>Self</t>
        </is>
      </c>
    </row>
    <row r="407">
      <c r="A407" t="n">
        <v>147</v>
      </c>
      <c r="B407" t="inlineStr">
        <is>
          <t>DOT Compliance Group</t>
        </is>
      </c>
      <c r="C407" t="inlineStr">
        <is>
          <t>Self</t>
        </is>
      </c>
    </row>
    <row r="408">
      <c r="A408" t="n">
        <v>148</v>
      </c>
      <c r="B408" t="inlineStr">
        <is>
          <t>National Monitoring Center</t>
        </is>
      </c>
      <c r="C408" t="inlineStr">
        <is>
          <t>Small PE</t>
        </is>
      </c>
    </row>
    <row r="409">
      <c r="A409" t="n">
        <v>149</v>
      </c>
      <c r="B409" t="inlineStr">
        <is>
          <t>Dodson Valco</t>
        </is>
      </c>
      <c r="C409" t="inlineStr">
        <is>
          <t>Self</t>
        </is>
      </c>
    </row>
    <row r="410">
      <c r="A410" t="n">
        <v>150</v>
      </c>
      <c r="B410" t="inlineStr">
        <is>
          <t>Groves Industrial</t>
        </is>
      </c>
      <c r="C410" t="inlineStr">
        <is>
          <t>Family</t>
        </is>
      </c>
    </row>
    <row r="411">
      <c r="A411" t="n">
        <v>151</v>
      </c>
      <c r="B411" t="inlineStr">
        <is>
          <t>Gentzler Electrical Svc Inc</t>
        </is>
      </c>
      <c r="C411" t="inlineStr">
        <is>
          <t>Self</t>
        </is>
      </c>
    </row>
    <row r="412">
      <c r="A412" t="n">
        <v>152</v>
      </c>
      <c r="B412" t="inlineStr">
        <is>
          <t>Venture Mechanical, Inc.</t>
        </is>
      </c>
      <c r="C412" t="inlineStr">
        <is>
          <t>Self</t>
        </is>
      </c>
    </row>
    <row r="413">
      <c r="A413" t="n">
        <v>153</v>
      </c>
      <c r="B413" t="inlineStr">
        <is>
          <t>ClimeCo</t>
        </is>
      </c>
      <c r="C413" t="inlineStr">
        <is>
          <t>Self</t>
        </is>
      </c>
    </row>
    <row r="414">
      <c r="A414" t="n">
        <v>154</v>
      </c>
      <c r="B414" t="inlineStr">
        <is>
          <t>Church Services</t>
        </is>
      </c>
      <c r="C414" t="inlineStr">
        <is>
          <t>Small PE</t>
        </is>
      </c>
    </row>
    <row r="415">
      <c r="A415" t="n">
        <v>155</v>
      </c>
      <c r="B415" t="inlineStr">
        <is>
          <t>HTH Communications, LLC.</t>
        </is>
      </c>
      <c r="C415" t="inlineStr">
        <is>
          <t>Self</t>
        </is>
      </c>
    </row>
    <row r="416">
      <c r="A416" t="n">
        <v>156</v>
      </c>
      <c r="B416" t="inlineStr">
        <is>
          <t>Mechanical Partners, Inc.</t>
        </is>
      </c>
      <c r="C416" t="inlineStr">
        <is>
          <t>Self</t>
        </is>
      </c>
    </row>
    <row r="417">
      <c r="A417" t="n">
        <v>157</v>
      </c>
      <c r="B417" t="inlineStr">
        <is>
          <t>Gibson Plumbing</t>
        </is>
      </c>
      <c r="C417" t="inlineStr">
        <is>
          <t>Small PE</t>
        </is>
      </c>
    </row>
    <row r="418">
      <c r="A418" t="n">
        <v>158</v>
      </c>
      <c r="B418" t="inlineStr">
        <is>
          <t>Enviromatic Systems</t>
        </is>
      </c>
      <c r="C418" t="inlineStr">
        <is>
          <t>Small PE</t>
        </is>
      </c>
    </row>
    <row r="419">
      <c r="A419" t="n">
        <v>159</v>
      </c>
      <c r="B419" t="inlineStr">
        <is>
          <t>CAVIS Energy</t>
        </is>
      </c>
      <c r="C419" t="inlineStr">
        <is>
          <t>Family</t>
        </is>
      </c>
    </row>
    <row r="420">
      <c r="A420" t="n">
        <v>160</v>
      </c>
      <c r="B420" t="inlineStr">
        <is>
          <t>Decker Mechanical</t>
        </is>
      </c>
      <c r="C420" t="inlineStr">
        <is>
          <t>Self</t>
        </is>
      </c>
    </row>
    <row r="421">
      <c r="A421" t="n">
        <v>161</v>
      </c>
      <c r="B421" t="inlineStr">
        <is>
          <t>5</t>
        </is>
      </c>
      <c r="C421" t="inlineStr">
        <is>
          <t>Self</t>
        </is>
      </c>
    </row>
    <row r="422">
      <c r="A422" t="n">
        <v>162</v>
      </c>
      <c r="B422" t="inlineStr">
        <is>
          <t>ToxStrategies, a BlueRidge Life Sciences Company</t>
        </is>
      </c>
      <c r="C422" t="inlineStr">
        <is>
          <t>Small PE</t>
        </is>
      </c>
    </row>
    <row r="423">
      <c r="A423" t="n">
        <v>163</v>
      </c>
      <c r="B423" t="inlineStr">
        <is>
          <t>Humphrey Company, Ltd.</t>
        </is>
      </c>
      <c r="C423" t="inlineStr">
        <is>
          <t>Family</t>
        </is>
      </c>
    </row>
    <row r="424">
      <c r="A424" t="n">
        <v>164</v>
      </c>
      <c r="B424" t="inlineStr">
        <is>
          <t>Able Machinery Movers, An MEI Company</t>
        </is>
      </c>
      <c r="C424" t="inlineStr">
        <is>
          <t>Small PE</t>
        </is>
      </c>
    </row>
    <row r="425">
      <c r="A425" t="n">
        <v>165</v>
      </c>
      <c r="B425" t="inlineStr">
        <is>
          <t>AirCo Air Conditioning, Heating, and Plumbing</t>
        </is>
      </c>
      <c r="C425" t="inlineStr">
        <is>
          <t>Family</t>
        </is>
      </c>
    </row>
    <row r="426">
      <c r="A426" t="n">
        <v>166</v>
      </c>
      <c r="B426" t="inlineStr">
        <is>
          <t>A&amp;B Labs</t>
        </is>
      </c>
      <c r="C426" t="inlineStr">
        <is>
          <t>Small PE</t>
        </is>
      </c>
    </row>
    <row r="427">
      <c r="A427" t="n">
        <v>167</v>
      </c>
      <c r="B427" t="inlineStr">
        <is>
          <t>DAVA Oncology</t>
        </is>
      </c>
      <c r="C427" t="inlineStr">
        <is>
          <t>Self</t>
        </is>
      </c>
    </row>
    <row r="428">
      <c r="A428" t="n">
        <v>168</v>
      </c>
      <c r="B428" t="inlineStr">
        <is>
          <t>Corporate Relocation International, LLC - CRI</t>
        </is>
      </c>
      <c r="C428" t="inlineStr">
        <is>
          <t>Self</t>
        </is>
      </c>
    </row>
    <row r="429">
      <c r="A429" t="n">
        <v>169</v>
      </c>
      <c r="B429" t="inlineStr">
        <is>
          <t>Oslin Nation Company</t>
        </is>
      </c>
      <c r="C429" t="inlineStr">
        <is>
          <t>Self</t>
        </is>
      </c>
    </row>
    <row r="430">
      <c r="A430" t="n">
        <v>170</v>
      </c>
      <c r="B430" t="inlineStr">
        <is>
          <t>Steel Supply</t>
        </is>
      </c>
      <c r="C430" t="inlineStr">
        <is>
          <t>Self</t>
        </is>
      </c>
    </row>
    <row r="431">
      <c r="A431" t="n">
        <v>171</v>
      </c>
      <c r="B431" t="inlineStr">
        <is>
          <t>GarageExperts®</t>
        </is>
      </c>
      <c r="C431" t="inlineStr">
        <is>
          <t>Self</t>
        </is>
      </c>
    </row>
    <row r="432">
      <c r="A432" t="n">
        <v>172</v>
      </c>
      <c r="B432" t="inlineStr">
        <is>
          <t>ABLe Communications, Inc.</t>
        </is>
      </c>
      <c r="C432" t="inlineStr">
        <is>
          <t>Self</t>
        </is>
      </c>
    </row>
    <row r="433">
      <c r="A433" t="n">
        <v>173</v>
      </c>
      <c r="B433" t="inlineStr">
        <is>
          <t>McMillan James Equipment Company</t>
        </is>
      </c>
      <c r="C433" t="inlineStr">
        <is>
          <t>Self</t>
        </is>
      </c>
    </row>
    <row r="434">
      <c r="A434" t="n">
        <v>174</v>
      </c>
      <c r="B434" t="inlineStr">
        <is>
          <t>Raven Mechanical, LP</t>
        </is>
      </c>
      <c r="C434" t="inlineStr">
        <is>
          <t>Family</t>
        </is>
      </c>
    </row>
    <row r="435">
      <c r="A435" t="n">
        <v>175</v>
      </c>
      <c r="B435" t="inlineStr">
        <is>
          <t>Kidd Roofing</t>
        </is>
      </c>
      <c r="C435" t="inlineStr">
        <is>
          <t>Self</t>
        </is>
      </c>
    </row>
    <row r="436">
      <c r="A436" t="n">
        <v>176</v>
      </c>
      <c r="B436" t="inlineStr">
        <is>
          <t>United Central Control</t>
        </is>
      </c>
      <c r="C436" t="inlineStr">
        <is>
          <t>Self</t>
        </is>
      </c>
    </row>
    <row r="437">
      <c r="A437" t="n">
        <v>177</v>
      </c>
      <c r="B437" t="inlineStr">
        <is>
          <t>Pepco Sales and Marketing</t>
        </is>
      </c>
      <c r="C437" t="inlineStr">
        <is>
          <t>Family</t>
        </is>
      </c>
    </row>
    <row r="438">
      <c r="A438" t="n">
        <v>178</v>
      </c>
      <c r="B438" t="inlineStr">
        <is>
          <t>ABP Technology</t>
        </is>
      </c>
      <c r="C438" t="inlineStr">
        <is>
          <t>Self</t>
        </is>
      </c>
    </row>
    <row r="439">
      <c r="A439" t="n">
        <v>179</v>
      </c>
      <c r="B439" t="inlineStr">
        <is>
          <t>Petri Electric</t>
        </is>
      </c>
      <c r="C439" t="inlineStr">
        <is>
          <t>Self</t>
        </is>
      </c>
    </row>
    <row r="440">
      <c r="A440" t="n">
        <v>180</v>
      </c>
      <c r="B440" t="inlineStr">
        <is>
          <t>Doggett Equipment Services Group</t>
        </is>
      </c>
      <c r="C440" t="inlineStr">
        <is>
          <t>Family</t>
        </is>
      </c>
    </row>
    <row r="441">
      <c r="A441" t="n">
        <v>181</v>
      </c>
      <c r="B441" t="inlineStr">
        <is>
          <t>ABIS</t>
        </is>
      </c>
      <c r="C441" t="inlineStr">
        <is>
          <t>Self</t>
        </is>
      </c>
    </row>
    <row r="442">
      <c r="A442" t="n">
        <v>182</v>
      </c>
      <c r="B442" t="inlineStr">
        <is>
          <t>Mechanical Reps, Inc.</t>
        </is>
      </c>
      <c r="C442" t="inlineStr">
        <is>
          <t>Family</t>
        </is>
      </c>
    </row>
    <row r="443">
      <c r="A443" t="n">
        <v>183</v>
      </c>
      <c r="B443" t="inlineStr">
        <is>
          <t>Straight Line Industrial Services, Inc.</t>
        </is>
      </c>
      <c r="C443" t="inlineStr">
        <is>
          <t>Family</t>
        </is>
      </c>
    </row>
    <row r="444">
      <c r="A444" t="n">
        <v>184</v>
      </c>
      <c r="B444" t="inlineStr">
        <is>
          <t>Texas Lighting</t>
        </is>
      </c>
      <c r="C444" t="inlineStr">
        <is>
          <t>Self</t>
        </is>
      </c>
    </row>
    <row r="445">
      <c r="A445" t="n">
        <v>185</v>
      </c>
      <c r="B445" t="inlineStr">
        <is>
          <t>Drywall Interiors, LP</t>
        </is>
      </c>
      <c r="C445" t="inlineStr">
        <is>
          <t>Self</t>
        </is>
      </c>
    </row>
    <row r="446">
      <c r="A446" t="n">
        <v>186</v>
      </c>
      <c r="B446" t="inlineStr">
        <is>
          <t>AMERICAN RESTORATION</t>
        </is>
      </c>
      <c r="C446" t="inlineStr">
        <is>
          <t>Self</t>
        </is>
      </c>
    </row>
    <row r="447">
      <c r="A447" t="n">
        <v>187</v>
      </c>
      <c r="B447" t="inlineStr">
        <is>
          <t>Ellen Lighting &amp; Hardware</t>
        </is>
      </c>
      <c r="C447" t="inlineStr">
        <is>
          <t>Self</t>
        </is>
      </c>
    </row>
    <row r="448">
      <c r="A448" t="n">
        <v>188</v>
      </c>
      <c r="B448" t="inlineStr">
        <is>
          <t>BVA Group</t>
        </is>
      </c>
      <c r="C448" t="inlineStr">
        <is>
          <t>Self</t>
        </is>
      </c>
    </row>
    <row r="449">
      <c r="A449" t="n">
        <v>189</v>
      </c>
      <c r="B449" t="inlineStr">
        <is>
          <t>CFI Mechanical, Inc</t>
        </is>
      </c>
      <c r="C449" t="inlineStr">
        <is>
          <t>Self</t>
        </is>
      </c>
    </row>
    <row r="450">
      <c r="A450" t="n">
        <v>190</v>
      </c>
      <c r="B450" t="inlineStr">
        <is>
          <t>OGD® Overhead Garage Door</t>
        </is>
      </c>
      <c r="C450" t="inlineStr">
        <is>
          <t>Family</t>
        </is>
      </c>
    </row>
    <row r="451">
      <c r="A451" t="n">
        <v>191</v>
      </c>
      <c r="B451" t="inlineStr">
        <is>
          <t>Gillette Air Conditioning Company, Inc</t>
        </is>
      </c>
      <c r="C451" t="inlineStr">
        <is>
          <t>Family</t>
        </is>
      </c>
    </row>
    <row r="452">
      <c r="A452" t="n">
        <v>192</v>
      </c>
      <c r="B452" t="inlineStr">
        <is>
          <t>Vaden's Drywall - Plaster - Masonry</t>
        </is>
      </c>
      <c r="C452" t="inlineStr">
        <is>
          <t>Family</t>
        </is>
      </c>
    </row>
    <row r="453">
      <c r="A453" t="n">
        <v>193</v>
      </c>
      <c r="B453" t="inlineStr">
        <is>
          <t>Calsak Plastics</t>
        </is>
      </c>
      <c r="C453" t="inlineStr">
        <is>
          <t>Self</t>
        </is>
      </c>
    </row>
    <row r="454">
      <c r="A454" t="n">
        <v>194</v>
      </c>
      <c r="B454" t="inlineStr">
        <is>
          <t>Straus Systems</t>
        </is>
      </c>
      <c r="C454" t="inlineStr">
        <is>
          <t>Self</t>
        </is>
      </c>
    </row>
    <row r="455">
      <c r="A455" t="n">
        <v>195</v>
      </c>
      <c r="B455" t="inlineStr">
        <is>
          <t>Sunbelt Waterproofing &amp; Restoration, LLC.</t>
        </is>
      </c>
      <c r="C455" t="inlineStr">
        <is>
          <t>Small PE</t>
        </is>
      </c>
    </row>
    <row r="456">
      <c r="A456" t="n">
        <v>196</v>
      </c>
      <c r="B456" t="inlineStr">
        <is>
          <t>National Roofing Partners</t>
        </is>
      </c>
      <c r="C456" t="inlineStr">
        <is>
          <t>Self</t>
        </is>
      </c>
    </row>
    <row r="457">
      <c r="A457" t="n">
        <v>197</v>
      </c>
      <c r="B457" t="inlineStr">
        <is>
          <t>Infinity Contractors</t>
        </is>
      </c>
      <c r="C457" t="inlineStr">
        <is>
          <t>Small PE</t>
        </is>
      </c>
    </row>
    <row r="458">
      <c r="A458" t="n">
        <v>198</v>
      </c>
      <c r="B458" t="inlineStr">
        <is>
          <t>Smith Thompson Home Services</t>
        </is>
      </c>
      <c r="C458" t="inlineStr">
        <is>
          <t>Family</t>
        </is>
      </c>
    </row>
    <row r="459">
      <c r="A459" t="n">
        <v>199</v>
      </c>
      <c r="B459" t="inlineStr">
        <is>
          <t>GCATS Telecom &amp; Critical Power Services</t>
        </is>
      </c>
      <c r="C459" t="inlineStr">
        <is>
          <t>Self</t>
        </is>
      </c>
    </row>
    <row r="460">
      <c r="A460" t="n">
        <v>200</v>
      </c>
      <c r="B460" t="inlineStr">
        <is>
          <t>Amber Electrical Contractors, Inc.</t>
        </is>
      </c>
      <c r="C460" t="inlineStr">
        <is>
          <t>Self</t>
        </is>
      </c>
    </row>
    <row r="461">
      <c r="A461" t="n">
        <v>201</v>
      </c>
      <c r="B461" t="inlineStr">
        <is>
          <t>North Water District Laboratory Services, Inc.</t>
        </is>
      </c>
      <c r="C461" t="inlineStr">
        <is>
          <t>Self</t>
        </is>
      </c>
    </row>
    <row r="462">
      <c r="A462" t="n">
        <v>202</v>
      </c>
      <c r="B462" t="inlineStr">
        <is>
          <t>ACS Commercial Services, LLC</t>
        </is>
      </c>
      <c r="C462" t="inlineStr">
        <is>
          <t>Self</t>
        </is>
      </c>
    </row>
    <row r="463">
      <c r="A463" t="n">
        <v>203</v>
      </c>
      <c r="B463" t="inlineStr">
        <is>
          <t>Cothron's Security Professionals</t>
        </is>
      </c>
      <c r="C463" t="inlineStr">
        <is>
          <t>Family</t>
        </is>
      </c>
    </row>
    <row r="464">
      <c r="A464" t="n">
        <v>204</v>
      </c>
      <c r="B464" t="inlineStr">
        <is>
          <t>Texas Southwest Floors, Inc.</t>
        </is>
      </c>
      <c r="C464" t="inlineStr">
        <is>
          <t>Self</t>
        </is>
      </c>
    </row>
    <row r="465">
      <c r="A465" t="n">
        <v>205</v>
      </c>
      <c r="B465" t="inlineStr">
        <is>
          <t>On Time Experts</t>
        </is>
      </c>
      <c r="C465" t="inlineStr">
        <is>
          <t>Family</t>
        </is>
      </c>
    </row>
    <row r="466">
      <c r="A466" t="n">
        <v>206</v>
      </c>
      <c r="B466" t="inlineStr">
        <is>
          <t>SupplyApp.com</t>
        </is>
      </c>
      <c r="C466" t="inlineStr">
        <is>
          <t>Self</t>
        </is>
      </c>
    </row>
    <row r="467">
      <c r="A467" t="n">
        <v>207</v>
      </c>
      <c r="B467" t="inlineStr">
        <is>
          <t>Village Plumbing, Air &amp; Electric</t>
        </is>
      </c>
      <c r="C467" t="inlineStr">
        <is>
          <t>Small PE</t>
        </is>
      </c>
    </row>
    <row r="468">
      <c r="A468" t="n">
        <v>208</v>
      </c>
      <c r="B468" t="inlineStr">
        <is>
          <t>A&amp;C Plastics, Inc.</t>
        </is>
      </c>
      <c r="C468" t="inlineStr">
        <is>
          <t>Family</t>
        </is>
      </c>
    </row>
    <row r="469">
      <c r="A469" t="n">
        <v>209</v>
      </c>
      <c r="B469" t="inlineStr">
        <is>
          <t>VRL Laboratories</t>
        </is>
      </c>
      <c r="C469" t="inlineStr">
        <is>
          <t>Self</t>
        </is>
      </c>
    </row>
    <row r="470">
      <c r="A470" t="n">
        <v>210</v>
      </c>
      <c r="B470" t="inlineStr">
        <is>
          <t>Defense Consulting Services, LLC</t>
        </is>
      </c>
      <c r="C470" t="inlineStr">
        <is>
          <t>Self</t>
        </is>
      </c>
    </row>
    <row r="471">
      <c r="A471" t="n">
        <v>211</v>
      </c>
      <c r="B471" t="inlineStr">
        <is>
          <t>Frymire Services, Inc.</t>
        </is>
      </c>
      <c r="C471" t="inlineStr">
        <is>
          <t>Small PE</t>
        </is>
      </c>
    </row>
    <row r="472">
      <c r="A472" t="n">
        <v>212</v>
      </c>
      <c r="B472" t="inlineStr">
        <is>
          <t>J Connor Consulting, Inc</t>
        </is>
      </c>
      <c r="C472" t="inlineStr">
        <is>
          <t>Self</t>
        </is>
      </c>
    </row>
    <row r="473">
      <c r="A473" t="n">
        <v>213</v>
      </c>
      <c r="B473" t="inlineStr">
        <is>
          <t>Reny Company</t>
        </is>
      </c>
      <c r="C473" t="inlineStr">
        <is>
          <t>Self</t>
        </is>
      </c>
    </row>
    <row r="474">
      <c r="A474" t="n">
        <v>214</v>
      </c>
      <c r="B474" t="inlineStr">
        <is>
          <t>Metro Mechanical, Inc</t>
        </is>
      </c>
      <c r="C474" t="inlineStr">
        <is>
          <t>Self</t>
        </is>
      </c>
    </row>
    <row r="475">
      <c r="A475" t="n">
        <v>215</v>
      </c>
      <c r="B475" t="inlineStr">
        <is>
          <t>The Power Company USA LLC</t>
        </is>
      </c>
      <c r="C475" t="inlineStr">
        <is>
          <t>Self</t>
        </is>
      </c>
    </row>
    <row r="476">
      <c r="A476" t="n">
        <v>216</v>
      </c>
      <c r="B476" t="inlineStr">
        <is>
          <t>Hull Supply Co.</t>
        </is>
      </c>
      <c r="C476" t="inlineStr">
        <is>
          <t>Self</t>
        </is>
      </c>
    </row>
  </sheetData>
  <mergeCells count="1">
    <mergeCell ref="A259:H2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2026-04-25T03:41:23Z</dcterms:created>
  <dcterms:modified xsi:type="dcterms:W3CDTF">2026-04-25T17:50:55Z</dcterms:modified>
</cp:coreProperties>
</file>